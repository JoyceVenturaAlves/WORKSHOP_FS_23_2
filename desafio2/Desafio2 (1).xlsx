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1"/>
  <workbookPr defaultThemeVersion="166925"/>
  <xr:revisionPtr revIDLastSave="0" documentId="8_{3CD906FA-3DBD-4B41-BA70-DAF66F8897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M23" i="1"/>
  <c r="M18" i="1"/>
  <c r="M6" i="1"/>
  <c r="M5" i="1"/>
  <c r="M7" i="1"/>
  <c r="M8" i="1"/>
  <c r="M9" i="1"/>
  <c r="M10" i="1"/>
  <c r="M11" i="1"/>
  <c r="M12" i="1"/>
  <c r="M13" i="1"/>
  <c r="M14" i="1"/>
  <c r="M15" i="1"/>
  <c r="M16" i="1"/>
  <c r="M17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4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4" i="1"/>
  <c r="F4" i="1"/>
  <c r="F5" i="1"/>
  <c r="F6" i="1"/>
  <c r="K37" i="1"/>
  <c r="K21" i="1"/>
  <c r="K15" i="1"/>
  <c r="K11" i="1"/>
  <c r="K33" i="1"/>
  <c r="K25" i="1"/>
  <c r="K23" i="1"/>
  <c r="K22" i="1"/>
  <c r="K17" i="1"/>
  <c r="K16" i="1"/>
  <c r="K14" i="1"/>
  <c r="K12" i="1"/>
  <c r="K9" i="1"/>
  <c r="K7" i="1"/>
  <c r="K38" i="1"/>
  <c r="K36" i="1"/>
  <c r="K35" i="1"/>
  <c r="K34" i="1"/>
  <c r="K32" i="1"/>
  <c r="K31" i="1"/>
  <c r="K30" i="1"/>
  <c r="K29" i="1"/>
  <c r="K28" i="1"/>
  <c r="K27" i="1"/>
  <c r="K26" i="1"/>
  <c r="K24" i="1"/>
  <c r="K20" i="1"/>
  <c r="K19" i="1"/>
  <c r="K18" i="1"/>
  <c r="K13" i="1"/>
  <c r="K10" i="1"/>
  <c r="K8" i="1"/>
  <c r="K6" i="1"/>
  <c r="K5" i="1"/>
  <c r="K4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C8" i="1"/>
  <c r="C6" i="1"/>
  <c r="C5" i="1"/>
  <c r="C4" i="1"/>
</calcChain>
</file>

<file path=xl/sharedStrings.xml><?xml version="1.0" encoding="utf-8"?>
<sst xmlns="http://schemas.openxmlformats.org/spreadsheetml/2006/main" count="223" uniqueCount="155">
  <si>
    <t>Full/Part Time</t>
  </si>
  <si>
    <t>Emp No.</t>
  </si>
  <si>
    <t>Emp ID</t>
  </si>
  <si>
    <t>Last Name</t>
  </si>
  <si>
    <t>First Name</t>
  </si>
  <si>
    <t>Full Name</t>
  </si>
  <si>
    <t>Email</t>
  </si>
  <si>
    <t>Date of Hire</t>
  </si>
  <si>
    <t>Department</t>
  </si>
  <si>
    <t>Location</t>
  </si>
  <si>
    <t>Floor No.</t>
  </si>
  <si>
    <t>Wing</t>
  </si>
  <si>
    <t>Extension</t>
  </si>
  <si>
    <t>F</t>
  </si>
  <si>
    <t>Bacata</t>
  </si>
  <si>
    <t>Stevie</t>
  </si>
  <si>
    <t>Sales</t>
  </si>
  <si>
    <t>02-West-2635</t>
  </si>
  <si>
    <t>BARRY</t>
  </si>
  <si>
    <t>Adam</t>
  </si>
  <si>
    <t>Customer Service</t>
  </si>
  <si>
    <t>02-West-2018</t>
  </si>
  <si>
    <t>Betts</t>
  </si>
  <si>
    <t>Connor</t>
  </si>
  <si>
    <t>02-NorthEast-2347</t>
  </si>
  <si>
    <t>Bacata Stevie</t>
  </si>
  <si>
    <t>P</t>
  </si>
  <si>
    <t>BINGA</t>
  </si>
  <si>
    <t>Fred</t>
  </si>
  <si>
    <t>Fred BINGA</t>
  </si>
  <si>
    <t>Human Resources</t>
  </si>
  <si>
    <t>03-West-2764</t>
  </si>
  <si>
    <t>Bitti</t>
  </si>
  <si>
    <t>Yvette</t>
  </si>
  <si>
    <t>Yvette Bitti</t>
  </si>
  <si>
    <t>02-West-2589</t>
  </si>
  <si>
    <t>BOLLER</t>
  </si>
  <si>
    <t>Jim</t>
  </si>
  <si>
    <t>Jim BOLLER</t>
  </si>
  <si>
    <t>Accounting</t>
  </si>
  <si>
    <t>03-East-2694</t>
  </si>
  <si>
    <t>Bui</t>
  </si>
  <si>
    <t>Charlie</t>
  </si>
  <si>
    <t>Charlie Bui</t>
  </si>
  <si>
    <t>02-West-2699</t>
  </si>
  <si>
    <t>Carlton</t>
  </si>
  <si>
    <t>Barbara</t>
  </si>
  <si>
    <t>Barbara Carlton</t>
  </si>
  <si>
    <t>01-East-2321</t>
  </si>
  <si>
    <t>CAROL</t>
  </si>
  <si>
    <t>Joe</t>
  </si>
  <si>
    <t>Joe CAROL</t>
  </si>
  <si>
    <t>Executive</t>
  </si>
  <si>
    <t>03-West-2432</t>
  </si>
  <si>
    <t>CHAFFEE</t>
  </si>
  <si>
    <t>Jim CHAFFEE</t>
  </si>
  <si>
    <t>Facilities</t>
  </si>
  <si>
    <t>02-West-2962</t>
  </si>
  <si>
    <t>Chairs</t>
  </si>
  <si>
    <t>Samantha</t>
  </si>
  <si>
    <t>Samantha Chairs</t>
  </si>
  <si>
    <t>03-East-2134</t>
  </si>
  <si>
    <t>CHAUDRI</t>
  </si>
  <si>
    <t>Uma</t>
  </si>
  <si>
    <t>Uma CHAUDRI</t>
  </si>
  <si>
    <t>01-West-2425</t>
  </si>
  <si>
    <t>CHU</t>
  </si>
  <si>
    <t>Elizabeth</t>
  </si>
  <si>
    <t>Elizabeth CHU</t>
  </si>
  <si>
    <t>IT</t>
  </si>
  <si>
    <t>03-East-2796</t>
  </si>
  <si>
    <t>CHUNG</t>
  </si>
  <si>
    <t>Eric</t>
  </si>
  <si>
    <t>Eric CHUNG</t>
  </si>
  <si>
    <t>03-West-2601</t>
  </si>
  <si>
    <t>CLARK</t>
  </si>
  <si>
    <t>ANNA</t>
  </si>
  <si>
    <t>ANNA CLARK</t>
  </si>
  <si>
    <t>02-NorthEast-2414</t>
  </si>
  <si>
    <t>elizabeth</t>
  </si>
  <si>
    <t>elizabeth CLARK</t>
  </si>
  <si>
    <t>02-West-2537</t>
  </si>
  <si>
    <t>COLE</t>
  </si>
  <si>
    <t>Sabrina</t>
  </si>
  <si>
    <t>Sabrina COLE</t>
  </si>
  <si>
    <t>02-West-2286</t>
  </si>
  <si>
    <t>COMUNTZIS</t>
  </si>
  <si>
    <t>Janet</t>
  </si>
  <si>
    <t>Janet COMUNTZIS</t>
  </si>
  <si>
    <t>01-East-2358</t>
  </si>
  <si>
    <t>DECKER</t>
  </si>
  <si>
    <t>Bob</t>
  </si>
  <si>
    <t>Bob DECKER</t>
  </si>
  <si>
    <t>03-West-2082</t>
  </si>
  <si>
    <t>DESIATO</t>
  </si>
  <si>
    <t>Tina</t>
  </si>
  <si>
    <t>Tina DESIATO</t>
  </si>
  <si>
    <t>03-NorthEast-2482</t>
  </si>
  <si>
    <t>DONNELL</t>
  </si>
  <si>
    <t>Alexandra</t>
  </si>
  <si>
    <t>Alexandra DONNELL</t>
  </si>
  <si>
    <t>02-East-2372</t>
  </si>
  <si>
    <t>ELLIS</t>
  </si>
  <si>
    <t>Mark</t>
  </si>
  <si>
    <t>Mark ELLIS</t>
  </si>
  <si>
    <t>03-East-2392</t>
  </si>
  <si>
    <t>Fernandes</t>
  </si>
  <si>
    <t>Nicholas</t>
  </si>
  <si>
    <t>Nicholas Fernandes</t>
  </si>
  <si>
    <t>02-West-2279</t>
  </si>
  <si>
    <t>FERRIS</t>
  </si>
  <si>
    <t>Mary</t>
  </si>
  <si>
    <t>Mary FERRIS</t>
  </si>
  <si>
    <t>02-East-2639</t>
  </si>
  <si>
    <t>FILOSA</t>
  </si>
  <si>
    <t>Susan</t>
  </si>
  <si>
    <t>Susan FILOSA</t>
  </si>
  <si>
    <t>02-East-2284</t>
  </si>
  <si>
    <t>FLANDERS</t>
  </si>
  <si>
    <t>Daniel</t>
  </si>
  <si>
    <t>Daniel FLANDERS</t>
  </si>
  <si>
    <t>02-East-2910</t>
  </si>
  <si>
    <t>Forrest</t>
  </si>
  <si>
    <t>Leighton</t>
  </si>
  <si>
    <t>Leighton Forrest</t>
  </si>
  <si>
    <t>Gour</t>
  </si>
  <si>
    <t>Phoebe</t>
  </si>
  <si>
    <t>Phoebe Gour</t>
  </si>
  <si>
    <t>Khan</t>
  </si>
  <si>
    <t>Mihael</t>
  </si>
  <si>
    <t>Mihael Khan</t>
  </si>
  <si>
    <t>SANDERS</t>
  </si>
  <si>
    <t>Sean</t>
  </si>
  <si>
    <t>Sean SANDERS</t>
  </si>
  <si>
    <t>03-West-2765</t>
  </si>
  <si>
    <t>Senome</t>
  </si>
  <si>
    <t>Preston</t>
  </si>
  <si>
    <t>Preston Senome</t>
  </si>
  <si>
    <t>02-East-2260</t>
  </si>
  <si>
    <t>Song</t>
  </si>
  <si>
    <t>Natasha</t>
  </si>
  <si>
    <t>Natasha Song</t>
  </si>
  <si>
    <t>02-East-2578</t>
  </si>
  <si>
    <t>Staples</t>
  </si>
  <si>
    <t>Radhya</t>
  </si>
  <si>
    <t>Radhya Staples</t>
  </si>
  <si>
    <t>02-East-2654</t>
  </si>
  <si>
    <t>WANG</t>
  </si>
  <si>
    <t>Mei</t>
  </si>
  <si>
    <t>Mei WANG</t>
  </si>
  <si>
    <t>01-West-2783</t>
  </si>
  <si>
    <t>Zhang</t>
  </si>
  <si>
    <t>Aanya</t>
  </si>
  <si>
    <t>Aanya Zhang</t>
  </si>
  <si>
    <t>02-East-2793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</si>
</sst>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sz val="14"/>
      <color theme="4" tint="0.59999389629810485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E1D6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1" fillId="2" borderId="0" xfId="0" applyFont="1" applyFill="1"/>
    <xf numFmtId="0" fontId="5" fillId="0" borderId="0" xfId="0" applyFont="1"/>
    <xf numFmtId="0" fontId="2" fillId="0" borderId="0" xfId="0" applyFont="1"/>
    <xf numFmtId="14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  <xf numFmtId="0" fontId="3" fillId="3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E1D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bacata@zenco.com" TargetMode="External"/><Relationship Id="rId1" Type="http://schemas.openxmlformats.org/officeDocument/2006/relationships/hyperlink" Target="mailto:sbacata@zen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39"/>
  <sheetViews>
    <sheetView tabSelected="1" workbookViewId="0">
      <selection activeCell="P7" sqref="P7"/>
    </sheetView>
  </sheetViews>
  <sheetFormatPr defaultRowHeight="15"/>
  <cols>
    <col min="8" max="8" width="11.42578125" bestFit="1" customWidth="1"/>
  </cols>
  <sheetData>
    <row r="1" spans="1:303" ht="18.75">
      <c r="A1" s="5"/>
      <c r="B1" s="5"/>
    </row>
    <row r="3" spans="1:303" s="1" customFormat="1" ht="15.75">
      <c r="A3" s="3" t="s">
        <v>0</v>
      </c>
      <c r="B3" s="3" t="s">
        <v>1</v>
      </c>
      <c r="C3" s="2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</row>
    <row r="4" spans="1:303">
      <c r="A4" t="s">
        <v>13</v>
      </c>
      <c r="B4" s="9">
        <v>1180</v>
      </c>
      <c r="C4" t="str">
        <f>_xlfn.CONCAT(A4:B4)</f>
        <v>F1180</v>
      </c>
      <c r="D4" t="s">
        <v>14</v>
      </c>
      <c r="E4" t="s">
        <v>15</v>
      </c>
      <c r="F4" t="str">
        <f>_xlfn.TEXTJOIN(" ",TRUE, D4:E4)</f>
        <v>Bacata Stevie</v>
      </c>
      <c r="G4" s="7" t="str">
        <f>LOWER(E4) &amp; "." &amp; LOWER(D4) &amp; "@alunounipe.com"</f>
        <v>stevie.bacata@alunounipe.com</v>
      </c>
      <c r="H4" s="6">
        <v>39550</v>
      </c>
      <c r="I4" t="s">
        <v>16</v>
      </c>
      <c r="J4" t="s">
        <v>17</v>
      </c>
      <c r="K4" s="9" t="str">
        <f>LEFT(2)</f>
        <v>2</v>
      </c>
      <c r="L4" s="8" t="str">
        <f>MID(J4,4,4)</f>
        <v>West</v>
      </c>
      <c r="M4" s="8" t="str">
        <f>MID(J4,9,4)</f>
        <v>2635</v>
      </c>
    </row>
    <row r="5" spans="1:303">
      <c r="A5" s="4" t="s">
        <v>13</v>
      </c>
      <c r="B5" s="9">
        <v>1110</v>
      </c>
      <c r="C5" t="str">
        <f>_xlfn.CONCAT(A5:B5)</f>
        <v>F1110</v>
      </c>
      <c r="D5" t="s">
        <v>18</v>
      </c>
      <c r="E5" t="s">
        <v>19</v>
      </c>
      <c r="F5" t="str">
        <f>_xlfn.TEXTJOIN(" ",TRUE,D5:E5)</f>
        <v>BARRY Adam</v>
      </c>
      <c r="G5" s="7" t="str">
        <f t="shared" ref="G5:G38" si="0">LOWER(E5) &amp; "." &amp; LOWER(D5) &amp; "@alunounipe.com"</f>
        <v>adam.barry@alunounipe.com</v>
      </c>
      <c r="H5" s="6">
        <v>38099</v>
      </c>
      <c r="I5" t="s">
        <v>20</v>
      </c>
      <c r="J5" t="s">
        <v>21</v>
      </c>
      <c r="K5" s="9" t="str">
        <f>LEFT(2)</f>
        <v>2</v>
      </c>
      <c r="L5" s="8" t="str">
        <f t="shared" ref="L5:L38" si="1">MID(J5,4,4)</f>
        <v>West</v>
      </c>
      <c r="M5" s="8" t="str">
        <f t="shared" ref="M5:M38" si="2">MID(J5,9,4)</f>
        <v>2018</v>
      </c>
      <c r="O5" s="1" t="s">
        <v>5</v>
      </c>
      <c r="P5" s="1" t="s">
        <v>2</v>
      </c>
    </row>
    <row r="6" spans="1:303">
      <c r="A6" s="4" t="s">
        <v>13</v>
      </c>
      <c r="B6" s="9">
        <v>1232</v>
      </c>
      <c r="C6" t="str">
        <f>_xlfn.CONCAT(A6:B6)</f>
        <v>F1232</v>
      </c>
      <c r="D6" t="s">
        <v>22</v>
      </c>
      <c r="E6" t="s">
        <v>23</v>
      </c>
      <c r="F6" t="str">
        <f>_xlfn.TEXTJOIN(" ",TRUE,D6:E6)</f>
        <v>Betts Connor</v>
      </c>
      <c r="G6" s="7" t="str">
        <f t="shared" si="0"/>
        <v>connor.betts@alunounipe.com</v>
      </c>
      <c r="H6" s="6">
        <v>41956</v>
      </c>
      <c r="I6" s="8" t="s">
        <v>16</v>
      </c>
      <c r="J6" t="s">
        <v>24</v>
      </c>
      <c r="K6" s="9" t="str">
        <f>LEFT(2)</f>
        <v>2</v>
      </c>
      <c r="L6" s="8" t="str">
        <f t="shared" si="1"/>
        <v>Nort</v>
      </c>
      <c r="M6" s="8" t="str">
        <f>MID(J6,14,4)</f>
        <v>2347</v>
      </c>
      <c r="O6" t="s">
        <v>25</v>
      </c>
      <c r="P6" t="e">
        <f>VLOOKUP(O6,A:F,3,0)</f>
        <v>#N/A</v>
      </c>
    </row>
    <row r="7" spans="1:303">
      <c r="A7" t="s">
        <v>26</v>
      </c>
      <c r="B7" s="9">
        <v>1243</v>
      </c>
      <c r="C7" t="str">
        <f>_xlfn.CONCAT(A7:B7)</f>
        <v>P1243</v>
      </c>
      <c r="D7" t="s">
        <v>27</v>
      </c>
      <c r="E7" t="s">
        <v>28</v>
      </c>
      <c r="F7" t="s">
        <v>29</v>
      </c>
      <c r="G7" s="7" t="str">
        <f t="shared" si="0"/>
        <v>fred.binga@alunounipe.com</v>
      </c>
      <c r="H7" s="6">
        <v>42229</v>
      </c>
      <c r="I7" t="s">
        <v>30</v>
      </c>
      <c r="J7" t="s">
        <v>31</v>
      </c>
      <c r="K7" s="9" t="str">
        <f>LEFT(3)</f>
        <v>3</v>
      </c>
      <c r="L7" s="8" t="str">
        <f t="shared" si="1"/>
        <v>West</v>
      </c>
      <c r="M7" s="8" t="str">
        <f t="shared" si="2"/>
        <v>2764</v>
      </c>
    </row>
    <row r="8" spans="1:303">
      <c r="A8" s="4" t="s">
        <v>26</v>
      </c>
      <c r="B8" s="9">
        <v>1248</v>
      </c>
      <c r="C8" t="str">
        <f>_xlfn.CONCAT(A8:B8)</f>
        <v>P1248</v>
      </c>
      <c r="D8" t="s">
        <v>32</v>
      </c>
      <c r="E8" t="s">
        <v>33</v>
      </c>
      <c r="F8" t="s">
        <v>34</v>
      </c>
      <c r="G8" s="7" t="str">
        <f t="shared" si="0"/>
        <v>yvette.bitti@alunounipe.com</v>
      </c>
      <c r="H8" s="6">
        <v>42384</v>
      </c>
      <c r="I8" s="8" t="s">
        <v>16</v>
      </c>
      <c r="J8" t="s">
        <v>35</v>
      </c>
      <c r="K8" s="9" t="str">
        <f>LEFT(2)</f>
        <v>2</v>
      </c>
      <c r="L8" s="8" t="str">
        <f t="shared" si="1"/>
        <v>West</v>
      </c>
      <c r="M8" s="8" t="str">
        <f t="shared" si="2"/>
        <v>2589</v>
      </c>
    </row>
    <row r="9" spans="1:303">
      <c r="A9" s="4" t="s">
        <v>26</v>
      </c>
      <c r="B9" s="9">
        <v>1227</v>
      </c>
      <c r="C9" t="str">
        <f>_xlfn.CONCAT(A9:B9)</f>
        <v>P1227</v>
      </c>
      <c r="D9" t="s">
        <v>36</v>
      </c>
      <c r="E9" t="s">
        <v>37</v>
      </c>
      <c r="F9" t="s">
        <v>38</v>
      </c>
      <c r="G9" s="7" t="str">
        <f t="shared" si="0"/>
        <v>jim.boller@alunounipe.com</v>
      </c>
      <c r="H9" s="6">
        <v>41893</v>
      </c>
      <c r="I9" t="s">
        <v>39</v>
      </c>
      <c r="J9" t="s">
        <v>40</v>
      </c>
      <c r="K9" s="9" t="str">
        <f>LEFT(3)</f>
        <v>3</v>
      </c>
      <c r="L9" s="8" t="str">
        <f t="shared" si="1"/>
        <v>East</v>
      </c>
      <c r="M9" s="8" t="str">
        <f t="shared" si="2"/>
        <v>2694</v>
      </c>
    </row>
    <row r="10" spans="1:303">
      <c r="A10" s="4" t="s">
        <v>26</v>
      </c>
      <c r="B10" s="9">
        <v>1230</v>
      </c>
      <c r="C10" t="str">
        <f>_xlfn.CONCAT(A10:B10)</f>
        <v>P1230</v>
      </c>
      <c r="D10" t="s">
        <v>41</v>
      </c>
      <c r="E10" t="s">
        <v>42</v>
      </c>
      <c r="F10" t="s">
        <v>43</v>
      </c>
      <c r="G10" s="7" t="str">
        <f t="shared" si="0"/>
        <v>charlie.bui@alunounipe.com</v>
      </c>
      <c r="H10" s="6">
        <v>41903</v>
      </c>
      <c r="I10" t="s">
        <v>16</v>
      </c>
      <c r="J10" t="s">
        <v>44</v>
      </c>
      <c r="K10" s="9" t="str">
        <f>LEFT(2)</f>
        <v>2</v>
      </c>
      <c r="L10" s="8" t="str">
        <f t="shared" si="1"/>
        <v>West</v>
      </c>
      <c r="M10" s="8" t="str">
        <f t="shared" si="2"/>
        <v>2699</v>
      </c>
    </row>
    <row r="11" spans="1:303">
      <c r="A11" t="s">
        <v>13</v>
      </c>
      <c r="B11" s="9">
        <v>1162</v>
      </c>
      <c r="C11" t="str">
        <f>_xlfn.CONCAT(A11:B11)</f>
        <v>F1162</v>
      </c>
      <c r="D11" t="s">
        <v>45</v>
      </c>
      <c r="E11" t="s">
        <v>46</v>
      </c>
      <c r="F11" t="s">
        <v>47</v>
      </c>
      <c r="G11" s="7" t="str">
        <f t="shared" si="0"/>
        <v>barbara.carlton@alunounipe.com</v>
      </c>
      <c r="H11" s="6">
        <v>38798</v>
      </c>
      <c r="I11" s="8" t="s">
        <v>16</v>
      </c>
      <c r="J11" t="s">
        <v>48</v>
      </c>
      <c r="K11" s="9" t="str">
        <f>LEFT(1)</f>
        <v>1</v>
      </c>
      <c r="L11" s="8" t="str">
        <f t="shared" si="1"/>
        <v>East</v>
      </c>
      <c r="M11" s="8" t="str">
        <f t="shared" si="2"/>
        <v>2321</v>
      </c>
    </row>
    <row r="12" spans="1:303">
      <c r="A12" t="s">
        <v>26</v>
      </c>
      <c r="B12" s="9">
        <v>1001</v>
      </c>
      <c r="C12" t="str">
        <f>_xlfn.CONCAT(A12:B12)</f>
        <v>P1001</v>
      </c>
      <c r="D12" t="s">
        <v>49</v>
      </c>
      <c r="E12" t="s">
        <v>50</v>
      </c>
      <c r="F12" t="s">
        <v>51</v>
      </c>
      <c r="G12" s="7" t="str">
        <f t="shared" si="0"/>
        <v>joe.carol@alunounipe.com</v>
      </c>
      <c r="H12" s="6">
        <v>36923</v>
      </c>
      <c r="I12" t="s">
        <v>52</v>
      </c>
      <c r="J12" t="s">
        <v>53</v>
      </c>
      <c r="K12" s="9" t="str">
        <f>LEFT(3)</f>
        <v>3</v>
      </c>
      <c r="L12" s="8" t="str">
        <f t="shared" si="1"/>
        <v>West</v>
      </c>
      <c r="M12" s="8" t="str">
        <f t="shared" si="2"/>
        <v>2432</v>
      </c>
    </row>
    <row r="13" spans="1:303">
      <c r="A13" t="s">
        <v>13</v>
      </c>
      <c r="B13" s="9">
        <v>1224</v>
      </c>
      <c r="C13" t="str">
        <f>_xlfn.CONCAT(A13:B13)</f>
        <v>F1224</v>
      </c>
      <c r="D13" t="s">
        <v>54</v>
      </c>
      <c r="E13" t="s">
        <v>37</v>
      </c>
      <c r="F13" t="s">
        <v>55</v>
      </c>
      <c r="G13" s="7" t="str">
        <f t="shared" si="0"/>
        <v>jim.chaffee@alunounipe.com</v>
      </c>
      <c r="H13" s="6">
        <v>41787</v>
      </c>
      <c r="I13" t="s">
        <v>56</v>
      </c>
      <c r="J13" t="s">
        <v>57</v>
      </c>
      <c r="K13" s="9" t="str">
        <f>LEFT(2)</f>
        <v>2</v>
      </c>
      <c r="L13" s="8" t="str">
        <f t="shared" si="1"/>
        <v>West</v>
      </c>
      <c r="M13" s="8" t="str">
        <f t="shared" si="2"/>
        <v>2962</v>
      </c>
      <c r="Q13" s="4"/>
    </row>
    <row r="14" spans="1:303">
      <c r="A14" t="s">
        <v>26</v>
      </c>
      <c r="B14" s="9">
        <v>1203</v>
      </c>
      <c r="C14" t="str">
        <f>_xlfn.CONCAT(A14:B14)</f>
        <v>P1203</v>
      </c>
      <c r="D14" t="s">
        <v>58</v>
      </c>
      <c r="E14" t="s">
        <v>59</v>
      </c>
      <c r="F14" t="s">
        <v>60</v>
      </c>
      <c r="G14" s="7" t="str">
        <f t="shared" si="0"/>
        <v>samantha.chairs@alunounipe.com</v>
      </c>
      <c r="H14" s="6">
        <v>40595</v>
      </c>
      <c r="I14" s="8" t="s">
        <v>16</v>
      </c>
      <c r="J14" t="s">
        <v>61</v>
      </c>
      <c r="K14" s="9" t="str">
        <f>LEFT(3)</f>
        <v>3</v>
      </c>
      <c r="L14" s="8" t="str">
        <f t="shared" si="1"/>
        <v>East</v>
      </c>
      <c r="M14" s="8" t="str">
        <f t="shared" si="2"/>
        <v>2134</v>
      </c>
    </row>
    <row r="15" spans="1:303">
      <c r="A15" t="s">
        <v>26</v>
      </c>
      <c r="B15" s="9">
        <v>1211</v>
      </c>
      <c r="C15" t="str">
        <f>_xlfn.CONCAT(A15:B15)</f>
        <v>P1211</v>
      </c>
      <c r="D15" t="s">
        <v>62</v>
      </c>
      <c r="E15" t="s">
        <v>63</v>
      </c>
      <c r="F15" t="s">
        <v>64</v>
      </c>
      <c r="G15" s="7" t="str">
        <f t="shared" si="0"/>
        <v>uma.chaudri@alunounipe.com</v>
      </c>
      <c r="H15" s="6">
        <v>40994</v>
      </c>
      <c r="I15" t="s">
        <v>30</v>
      </c>
      <c r="J15" t="s">
        <v>65</v>
      </c>
      <c r="K15" s="9" t="str">
        <f>LEFT(1)</f>
        <v>1</v>
      </c>
      <c r="L15" s="8" t="str">
        <f t="shared" si="1"/>
        <v>West</v>
      </c>
      <c r="M15" s="8" t="str">
        <f t="shared" si="2"/>
        <v>2425</v>
      </c>
    </row>
    <row r="16" spans="1:303">
      <c r="A16" t="s">
        <v>26</v>
      </c>
      <c r="B16" s="9">
        <v>1198</v>
      </c>
      <c r="C16" t="str">
        <f>_xlfn.CONCAT(A16:B16)</f>
        <v>P1198</v>
      </c>
      <c r="D16" t="s">
        <v>66</v>
      </c>
      <c r="E16" t="s">
        <v>67</v>
      </c>
      <c r="F16" t="s">
        <v>68</v>
      </c>
      <c r="G16" s="7" t="str">
        <f t="shared" si="0"/>
        <v>elizabeth.chu@alunounipe.com</v>
      </c>
      <c r="H16" s="6">
        <v>40220</v>
      </c>
      <c r="I16" t="s">
        <v>69</v>
      </c>
      <c r="J16" t="s">
        <v>70</v>
      </c>
      <c r="K16" s="9" t="str">
        <f>LEFT(3)</f>
        <v>3</v>
      </c>
      <c r="L16" s="8" t="str">
        <f t="shared" si="1"/>
        <v>East</v>
      </c>
      <c r="M16" s="8" t="str">
        <f t="shared" si="2"/>
        <v>2796</v>
      </c>
    </row>
    <row r="17" spans="1:13">
      <c r="A17" t="s">
        <v>13</v>
      </c>
      <c r="B17" s="9">
        <v>1003</v>
      </c>
      <c r="C17" t="str">
        <f>_xlfn.CONCAT(A17:B17)</f>
        <v>F1003</v>
      </c>
      <c r="D17" t="s">
        <v>71</v>
      </c>
      <c r="E17" t="s">
        <v>72</v>
      </c>
      <c r="F17" t="s">
        <v>73</v>
      </c>
      <c r="G17" s="7" t="str">
        <f t="shared" si="0"/>
        <v>eric.chung@alunounipe.com</v>
      </c>
      <c r="H17" s="6">
        <v>36949</v>
      </c>
      <c r="I17" t="s">
        <v>69</v>
      </c>
      <c r="J17" t="s">
        <v>74</v>
      </c>
      <c r="K17" s="9" t="str">
        <f>LEFT(3)</f>
        <v>3</v>
      </c>
      <c r="L17" s="8" t="str">
        <f t="shared" si="1"/>
        <v>West</v>
      </c>
      <c r="M17" s="8" t="str">
        <f t="shared" si="2"/>
        <v>2601</v>
      </c>
    </row>
    <row r="18" spans="1:13">
      <c r="A18" t="s">
        <v>13</v>
      </c>
      <c r="B18" s="9">
        <v>1235</v>
      </c>
      <c r="C18" t="str">
        <f>_xlfn.CONCAT(A18:B18)</f>
        <v>F1235</v>
      </c>
      <c r="D18" t="s">
        <v>75</v>
      </c>
      <c r="E18" t="s">
        <v>76</v>
      </c>
      <c r="F18" t="s">
        <v>77</v>
      </c>
      <c r="G18" s="7" t="str">
        <f t="shared" si="0"/>
        <v>anna.clark@alunounipe.com</v>
      </c>
      <c r="H18" s="6">
        <v>41989</v>
      </c>
      <c r="I18" t="s">
        <v>39</v>
      </c>
      <c r="J18" t="s">
        <v>78</v>
      </c>
      <c r="K18" s="9" t="str">
        <f>LEFT(2)</f>
        <v>2</v>
      </c>
      <c r="L18" s="8" t="str">
        <f t="shared" si="1"/>
        <v>Nort</v>
      </c>
      <c r="M18" s="8" t="str">
        <f>MID(J6,14,4)</f>
        <v>2347</v>
      </c>
    </row>
    <row r="19" spans="1:13">
      <c r="A19" t="s">
        <v>26</v>
      </c>
      <c r="B19" s="9">
        <v>1253</v>
      </c>
      <c r="C19" t="str">
        <f>_xlfn.CONCAT(A19:B19)</f>
        <v>P1253</v>
      </c>
      <c r="D19" t="s">
        <v>75</v>
      </c>
      <c r="E19" t="s">
        <v>79</v>
      </c>
      <c r="F19" t="s">
        <v>80</v>
      </c>
      <c r="G19" s="7" t="str">
        <f t="shared" si="0"/>
        <v>elizabeth.clark@alunounipe.com</v>
      </c>
      <c r="H19" s="6">
        <v>42905</v>
      </c>
      <c r="I19" t="s">
        <v>20</v>
      </c>
      <c r="J19" t="s">
        <v>81</v>
      </c>
      <c r="K19" s="9" t="str">
        <f>LEFT(2)</f>
        <v>2</v>
      </c>
      <c r="L19" s="8" t="str">
        <f t="shared" si="1"/>
        <v>West</v>
      </c>
      <c r="M19" s="8" t="str">
        <f t="shared" si="2"/>
        <v>2537</v>
      </c>
    </row>
    <row r="20" spans="1:13">
      <c r="A20" t="s">
        <v>26</v>
      </c>
      <c r="B20" s="9">
        <v>1221</v>
      </c>
      <c r="C20" t="str">
        <f>_xlfn.CONCAT(A20:B20)</f>
        <v>P1221</v>
      </c>
      <c r="D20" t="s">
        <v>82</v>
      </c>
      <c r="E20" t="s">
        <v>83</v>
      </c>
      <c r="F20" t="s">
        <v>84</v>
      </c>
      <c r="G20" s="7" t="str">
        <f t="shared" si="0"/>
        <v>sabrina.cole@alunounipe.com</v>
      </c>
      <c r="H20" s="6">
        <v>41401</v>
      </c>
      <c r="I20" s="8" t="s">
        <v>20</v>
      </c>
      <c r="J20" t="s">
        <v>85</v>
      </c>
      <c r="K20" s="9" t="str">
        <f>LEFT(2)</f>
        <v>2</v>
      </c>
      <c r="L20" s="8" t="str">
        <f t="shared" si="1"/>
        <v>West</v>
      </c>
      <c r="M20" s="8" t="str">
        <f t="shared" si="2"/>
        <v>2286</v>
      </c>
    </row>
    <row r="21" spans="1:13">
      <c r="A21" t="s">
        <v>13</v>
      </c>
      <c r="B21" s="9">
        <v>1186</v>
      </c>
      <c r="C21" t="str">
        <f>_xlfn.CONCAT(A21:B21)</f>
        <v>F1186</v>
      </c>
      <c r="D21" t="s">
        <v>86</v>
      </c>
      <c r="E21" t="s">
        <v>87</v>
      </c>
      <c r="F21" t="s">
        <v>88</v>
      </c>
      <c r="G21" s="7" t="str">
        <f t="shared" si="0"/>
        <v>janet.comuntzis@alunounipe.com</v>
      </c>
      <c r="H21" s="6">
        <v>39686</v>
      </c>
      <c r="I21" s="8" t="s">
        <v>20</v>
      </c>
      <c r="J21" t="s">
        <v>89</v>
      </c>
      <c r="K21" s="9" t="str">
        <f>LEFT(1)</f>
        <v>1</v>
      </c>
      <c r="L21" s="8" t="str">
        <f t="shared" si="1"/>
        <v>East</v>
      </c>
      <c r="M21" s="8" t="str">
        <f t="shared" si="2"/>
        <v>2358</v>
      </c>
    </row>
    <row r="22" spans="1:13">
      <c r="A22" t="s">
        <v>26</v>
      </c>
      <c r="B22" s="9">
        <v>1218</v>
      </c>
      <c r="C22" t="str">
        <f>_xlfn.CONCAT(A22:B22)</f>
        <v>P1218</v>
      </c>
      <c r="D22" t="s">
        <v>90</v>
      </c>
      <c r="E22" t="s">
        <v>91</v>
      </c>
      <c r="F22" t="s">
        <v>92</v>
      </c>
      <c r="G22" s="7" t="str">
        <f t="shared" si="0"/>
        <v>bob.decker@alunounipe.com</v>
      </c>
      <c r="H22" s="6">
        <v>41210</v>
      </c>
      <c r="I22" s="8" t="s">
        <v>69</v>
      </c>
      <c r="J22" t="s">
        <v>93</v>
      </c>
      <c r="K22" s="9" t="str">
        <f>LEFT(3)</f>
        <v>3</v>
      </c>
      <c r="L22" s="8" t="str">
        <f t="shared" si="1"/>
        <v>West</v>
      </c>
      <c r="M22" s="8" t="str">
        <f t="shared" si="2"/>
        <v>2082</v>
      </c>
    </row>
    <row r="23" spans="1:13">
      <c r="A23" t="s">
        <v>13</v>
      </c>
      <c r="B23" s="9">
        <v>1215</v>
      </c>
      <c r="C23" t="str">
        <f>_xlfn.CONCAT(A23:B23)</f>
        <v>F1215</v>
      </c>
      <c r="D23" t="s">
        <v>94</v>
      </c>
      <c r="E23" t="s">
        <v>95</v>
      </c>
      <c r="F23" t="s">
        <v>96</v>
      </c>
      <c r="G23" s="7" t="str">
        <f t="shared" si="0"/>
        <v>tina.desiato@alunounipe.com</v>
      </c>
      <c r="H23" s="6">
        <v>41175</v>
      </c>
      <c r="I23" t="s">
        <v>69</v>
      </c>
      <c r="J23" t="s">
        <v>97</v>
      </c>
      <c r="K23" s="9" t="str">
        <f>LEFT(3)</f>
        <v>3</v>
      </c>
      <c r="L23" s="8" t="str">
        <f t="shared" si="1"/>
        <v>Nort</v>
      </c>
      <c r="M23" s="8" t="str">
        <f>MID(J6,14,4)</f>
        <v>2347</v>
      </c>
    </row>
    <row r="24" spans="1:13">
      <c r="A24" t="s">
        <v>26</v>
      </c>
      <c r="B24" s="9">
        <v>1241</v>
      </c>
      <c r="C24" t="str">
        <f>_xlfn.CONCAT(A24:B24)</f>
        <v>P1241</v>
      </c>
      <c r="D24" t="s">
        <v>98</v>
      </c>
      <c r="E24" t="s">
        <v>99</v>
      </c>
      <c r="F24" t="s">
        <v>100</v>
      </c>
      <c r="G24" s="7" t="str">
        <f t="shared" si="0"/>
        <v>alexandra.donnell@alunounipe.com</v>
      </c>
      <c r="H24" s="6">
        <v>42228</v>
      </c>
      <c r="I24" s="8" t="s">
        <v>39</v>
      </c>
      <c r="J24" t="s">
        <v>101</v>
      </c>
      <c r="K24" s="9" t="str">
        <f>LEFT(2)</f>
        <v>2</v>
      </c>
      <c r="L24" s="8" t="str">
        <f t="shared" si="1"/>
        <v>East</v>
      </c>
      <c r="M24" s="8" t="str">
        <f t="shared" si="2"/>
        <v>2372</v>
      </c>
    </row>
    <row r="25" spans="1:13">
      <c r="A25" t="s">
        <v>13</v>
      </c>
      <c r="B25" s="9">
        <v>1246</v>
      </c>
      <c r="C25" t="str">
        <f>_xlfn.CONCAT(A25:B25)</f>
        <v>F1246</v>
      </c>
      <c r="D25" t="s">
        <v>102</v>
      </c>
      <c r="E25" t="s">
        <v>103</v>
      </c>
      <c r="F25" t="s">
        <v>104</v>
      </c>
      <c r="G25" s="7" t="str">
        <f t="shared" si="0"/>
        <v>mark.ellis@alunounipe.com</v>
      </c>
      <c r="H25" s="6">
        <v>42371</v>
      </c>
      <c r="I25" s="8" t="s">
        <v>69</v>
      </c>
      <c r="J25" t="s">
        <v>105</v>
      </c>
      <c r="K25" s="9" t="str">
        <f>LEFT(3)</f>
        <v>3</v>
      </c>
      <c r="L25" s="8" t="str">
        <f t="shared" si="1"/>
        <v>East</v>
      </c>
      <c r="M25" s="8" t="str">
        <f t="shared" si="2"/>
        <v>2392</v>
      </c>
    </row>
    <row r="26" spans="1:13">
      <c r="A26" t="s">
        <v>13</v>
      </c>
      <c r="B26" s="9">
        <v>1172</v>
      </c>
      <c r="C26" t="str">
        <f>_xlfn.CONCAT(A26:B26)</f>
        <v>F1172</v>
      </c>
      <c r="D26" t="s">
        <v>106</v>
      </c>
      <c r="E26" t="s">
        <v>107</v>
      </c>
      <c r="F26" t="s">
        <v>108</v>
      </c>
      <c r="G26" s="7" t="str">
        <f t="shared" si="0"/>
        <v>nicholas.fernandes@alunounipe.com</v>
      </c>
      <c r="H26" s="6">
        <v>39023</v>
      </c>
      <c r="I26" s="8" t="s">
        <v>39</v>
      </c>
      <c r="J26" t="s">
        <v>109</v>
      </c>
      <c r="K26" s="9" t="str">
        <f>LEFT(2)</f>
        <v>2</v>
      </c>
      <c r="L26" s="8" t="str">
        <f t="shared" si="1"/>
        <v>West</v>
      </c>
      <c r="M26" s="8" t="str">
        <f t="shared" si="2"/>
        <v>2279</v>
      </c>
    </row>
    <row r="27" spans="1:13">
      <c r="A27" t="s">
        <v>13</v>
      </c>
      <c r="B27" s="9">
        <v>1134</v>
      </c>
      <c r="C27" t="str">
        <f>_xlfn.CONCAT(A27:B27)</f>
        <v>F1134</v>
      </c>
      <c r="D27" t="s">
        <v>110</v>
      </c>
      <c r="E27" t="s">
        <v>111</v>
      </c>
      <c r="F27" t="s">
        <v>112</v>
      </c>
      <c r="G27" s="7" t="str">
        <f t="shared" si="0"/>
        <v>mary.ferris@alunounipe.com</v>
      </c>
      <c r="H27" s="6">
        <v>38548</v>
      </c>
      <c r="I27" t="s">
        <v>16</v>
      </c>
      <c r="J27" t="s">
        <v>113</v>
      </c>
      <c r="K27" s="9" t="str">
        <f>LEFT(2)</f>
        <v>2</v>
      </c>
      <c r="L27" s="8" t="str">
        <f t="shared" si="1"/>
        <v>East</v>
      </c>
      <c r="M27" s="8" t="str">
        <f t="shared" si="2"/>
        <v>2639</v>
      </c>
    </row>
    <row r="28" spans="1:13">
      <c r="A28" t="s">
        <v>13</v>
      </c>
      <c r="B28" s="9">
        <v>1150</v>
      </c>
      <c r="C28" t="str">
        <f>_xlfn.CONCAT(A28:B28)</f>
        <v>F1150</v>
      </c>
      <c r="D28" t="s">
        <v>114</v>
      </c>
      <c r="E28" t="s">
        <v>115</v>
      </c>
      <c r="F28" t="s">
        <v>116</v>
      </c>
      <c r="G28" s="7" t="str">
        <f t="shared" si="0"/>
        <v>susan.filosa@alunounipe.com</v>
      </c>
      <c r="H28" s="6">
        <v>38744</v>
      </c>
      <c r="I28" t="s">
        <v>20</v>
      </c>
      <c r="J28" t="s">
        <v>117</v>
      </c>
      <c r="K28" s="9" t="str">
        <f>LEFT(2)</f>
        <v>2</v>
      </c>
      <c r="L28" s="8" t="str">
        <f t="shared" si="1"/>
        <v>East</v>
      </c>
      <c r="M28" s="8" t="str">
        <f t="shared" si="2"/>
        <v>2284</v>
      </c>
    </row>
    <row r="29" spans="1:13">
      <c r="A29" t="s">
        <v>26</v>
      </c>
      <c r="B29" s="9">
        <v>1004</v>
      </c>
      <c r="C29" t="str">
        <f>_xlfn.CONCAT(A29:B29)</f>
        <v>P1004</v>
      </c>
      <c r="D29" t="s">
        <v>118</v>
      </c>
      <c r="E29" t="s">
        <v>119</v>
      </c>
      <c r="F29" t="s">
        <v>120</v>
      </c>
      <c r="G29" s="7" t="str">
        <f t="shared" si="0"/>
        <v>daniel.flanders@alunounipe.com</v>
      </c>
      <c r="H29" s="6">
        <v>37510</v>
      </c>
      <c r="I29" t="s">
        <v>16</v>
      </c>
      <c r="J29" t="s">
        <v>121</v>
      </c>
      <c r="K29" s="9" t="str">
        <f>LEFT(2)</f>
        <v>2</v>
      </c>
      <c r="L29" s="8" t="str">
        <f t="shared" si="1"/>
        <v>East</v>
      </c>
      <c r="M29" s="8" t="str">
        <f t="shared" si="2"/>
        <v>2910</v>
      </c>
    </row>
    <row r="30" spans="1:13">
      <c r="A30" t="s">
        <v>13</v>
      </c>
      <c r="B30" s="9">
        <v>1239</v>
      </c>
      <c r="C30" t="str">
        <f>_xlfn.CONCAT(A30:B30)</f>
        <v>F1239</v>
      </c>
      <c r="D30" t="s">
        <v>122</v>
      </c>
      <c r="E30" t="s">
        <v>123</v>
      </c>
      <c r="F30" t="s">
        <v>124</v>
      </c>
      <c r="G30" s="7" t="str">
        <f t="shared" si="0"/>
        <v>leighton.forrest@alunounipe.com</v>
      </c>
      <c r="H30" s="6">
        <v>42120</v>
      </c>
      <c r="I30" t="s">
        <v>16</v>
      </c>
      <c r="J30" t="s">
        <v>113</v>
      </c>
      <c r="K30" s="9" t="str">
        <f>LEFT(2)</f>
        <v>2</v>
      </c>
      <c r="L30" s="8" t="str">
        <f t="shared" si="1"/>
        <v>East</v>
      </c>
      <c r="M30" s="8" t="str">
        <f t="shared" si="2"/>
        <v>2639</v>
      </c>
    </row>
    <row r="31" spans="1:13">
      <c r="A31" t="s">
        <v>13</v>
      </c>
      <c r="B31" s="9">
        <v>1250</v>
      </c>
      <c r="C31" t="str">
        <f>_xlfn.CONCAT(A31:B31)</f>
        <v>F1250</v>
      </c>
      <c r="D31" t="s">
        <v>125</v>
      </c>
      <c r="E31" t="s">
        <v>126</v>
      </c>
      <c r="F31" t="s">
        <v>127</v>
      </c>
      <c r="G31" s="7" t="str">
        <f t="shared" si="0"/>
        <v>phoebe.gour@alunounipe.com</v>
      </c>
      <c r="H31" s="6">
        <v>42721</v>
      </c>
      <c r="I31" t="s">
        <v>16</v>
      </c>
      <c r="J31" t="s">
        <v>117</v>
      </c>
      <c r="K31" s="9" t="str">
        <f>LEFT(2)</f>
        <v>2</v>
      </c>
      <c r="L31" s="8" t="str">
        <f t="shared" si="1"/>
        <v>East</v>
      </c>
      <c r="M31" s="8" t="str">
        <f t="shared" si="2"/>
        <v>2284</v>
      </c>
    </row>
    <row r="32" spans="1:13">
      <c r="A32" t="s">
        <v>26</v>
      </c>
      <c r="B32" s="9">
        <v>1192</v>
      </c>
      <c r="C32" t="str">
        <f>_xlfn.CONCAT(A32:B32)</f>
        <v>P1192</v>
      </c>
      <c r="D32" t="s">
        <v>128</v>
      </c>
      <c r="E32" t="s">
        <v>129</v>
      </c>
      <c r="F32" t="s">
        <v>130</v>
      </c>
      <c r="G32" s="7" t="str">
        <f t="shared" si="0"/>
        <v>mihael.khan@alunounipe.com</v>
      </c>
      <c r="H32" s="6">
        <v>40160</v>
      </c>
      <c r="I32" t="s">
        <v>16</v>
      </c>
      <c r="J32" t="s">
        <v>121</v>
      </c>
      <c r="K32" s="9" t="str">
        <f>LEFT(2)</f>
        <v>2</v>
      </c>
      <c r="L32" s="8" t="str">
        <f t="shared" si="1"/>
        <v>East</v>
      </c>
      <c r="M32" s="8" t="str">
        <f t="shared" si="2"/>
        <v>2910</v>
      </c>
    </row>
    <row r="33" spans="1:13">
      <c r="A33" t="s">
        <v>26</v>
      </c>
      <c r="B33" s="9">
        <v>1249</v>
      </c>
      <c r="C33" t="str">
        <f>_xlfn.CONCAT(A33:B33)</f>
        <v>P1249</v>
      </c>
      <c r="D33" t="s">
        <v>131</v>
      </c>
      <c r="E33" t="s">
        <v>132</v>
      </c>
      <c r="F33" t="s">
        <v>133</v>
      </c>
      <c r="G33" s="7" t="str">
        <f t="shared" si="0"/>
        <v>sean.sanders@alunounipe.com</v>
      </c>
      <c r="H33" s="6">
        <v>42691</v>
      </c>
      <c r="I33" t="s">
        <v>30</v>
      </c>
      <c r="J33" t="s">
        <v>134</v>
      </c>
      <c r="K33" s="9" t="str">
        <f>LEFT(3)</f>
        <v>3</v>
      </c>
      <c r="L33" s="8" t="str">
        <f t="shared" si="1"/>
        <v>West</v>
      </c>
      <c r="M33" s="8" t="str">
        <f t="shared" si="2"/>
        <v>2765</v>
      </c>
    </row>
    <row r="34" spans="1:13">
      <c r="A34" t="s">
        <v>26</v>
      </c>
      <c r="B34" s="9">
        <v>1245</v>
      </c>
      <c r="C34" t="str">
        <f>_xlfn.CONCAT(A34:B34)</f>
        <v>P1245</v>
      </c>
      <c r="D34" t="s">
        <v>135</v>
      </c>
      <c r="E34" t="s">
        <v>136</v>
      </c>
      <c r="F34" t="s">
        <v>137</v>
      </c>
      <c r="G34" s="7" t="str">
        <f t="shared" si="0"/>
        <v>preston.senome@alunounipe.com</v>
      </c>
      <c r="H34" s="6">
        <v>42324</v>
      </c>
      <c r="I34" t="s">
        <v>16</v>
      </c>
      <c r="J34" t="s">
        <v>138</v>
      </c>
      <c r="K34" s="9" t="str">
        <f>LEFT(2)</f>
        <v>2</v>
      </c>
      <c r="L34" s="8" t="str">
        <f t="shared" si="1"/>
        <v>East</v>
      </c>
      <c r="M34" s="8" t="str">
        <f t="shared" si="2"/>
        <v>2260</v>
      </c>
    </row>
    <row r="35" spans="1:13">
      <c r="A35" t="s">
        <v>26</v>
      </c>
      <c r="B35" s="9">
        <v>1207</v>
      </c>
      <c r="C35" t="str">
        <f>_xlfn.CONCAT(A35:B35)</f>
        <v>P1207</v>
      </c>
      <c r="D35" t="s">
        <v>139</v>
      </c>
      <c r="E35" t="s">
        <v>140</v>
      </c>
      <c r="F35" t="s">
        <v>141</v>
      </c>
      <c r="G35" s="7" t="str">
        <f t="shared" si="0"/>
        <v>natasha.song@alunounipe.com</v>
      </c>
      <c r="H35" s="6">
        <v>40713</v>
      </c>
      <c r="I35" t="s">
        <v>16</v>
      </c>
      <c r="J35" t="s">
        <v>142</v>
      </c>
      <c r="K35" s="9" t="str">
        <f>LEFT(2)</f>
        <v>2</v>
      </c>
      <c r="L35" s="8" t="str">
        <f t="shared" si="1"/>
        <v>East</v>
      </c>
      <c r="M35" s="8" t="str">
        <f t="shared" si="2"/>
        <v>2578</v>
      </c>
    </row>
    <row r="36" spans="1:13">
      <c r="A36" t="s">
        <v>26</v>
      </c>
      <c r="B36" s="9">
        <v>1244</v>
      </c>
      <c r="C36" t="str">
        <f>_xlfn.CONCAT(A36:B36)</f>
        <v>P1244</v>
      </c>
      <c r="D36" t="s">
        <v>143</v>
      </c>
      <c r="E36" t="s">
        <v>144</v>
      </c>
      <c r="F36" t="s">
        <v>145</v>
      </c>
      <c r="G36" s="7" t="str">
        <f t="shared" si="0"/>
        <v>radhya.staples@alunounipe.com</v>
      </c>
      <c r="H36" s="6">
        <v>42321</v>
      </c>
      <c r="I36" t="s">
        <v>16</v>
      </c>
      <c r="J36" t="s">
        <v>146</v>
      </c>
      <c r="K36" s="9" t="str">
        <f>LEFT(2)</f>
        <v>2</v>
      </c>
      <c r="L36" s="8" t="str">
        <f t="shared" si="1"/>
        <v>East</v>
      </c>
      <c r="M36" s="8" t="str">
        <f t="shared" si="2"/>
        <v>2654</v>
      </c>
    </row>
    <row r="37" spans="1:13">
      <c r="A37" t="s">
        <v>13</v>
      </c>
      <c r="B37" s="9">
        <v>1252</v>
      </c>
      <c r="C37" t="str">
        <f>_xlfn.CONCAT(A37:B37)</f>
        <v>F1252</v>
      </c>
      <c r="D37" t="s">
        <v>147</v>
      </c>
      <c r="E37" t="s">
        <v>148</v>
      </c>
      <c r="F37" t="s">
        <v>149</v>
      </c>
      <c r="G37" s="7" t="str">
        <f t="shared" si="0"/>
        <v>mei.wang@alunounipe.com</v>
      </c>
      <c r="H37" s="6">
        <v>40188</v>
      </c>
      <c r="I37" t="s">
        <v>52</v>
      </c>
      <c r="J37" t="s">
        <v>150</v>
      </c>
      <c r="K37" s="9" t="str">
        <f>LEFT(1)</f>
        <v>1</v>
      </c>
      <c r="L37" s="8" t="str">
        <f t="shared" si="1"/>
        <v>West</v>
      </c>
      <c r="M37" s="8" t="str">
        <f t="shared" si="2"/>
        <v>2783</v>
      </c>
    </row>
    <row r="38" spans="1:13">
      <c r="A38" t="s">
        <v>13</v>
      </c>
      <c r="B38" s="9">
        <v>1237</v>
      </c>
      <c r="C38" t="str">
        <f>_xlfn.CONCAT(A38:B38)</f>
        <v>F1237</v>
      </c>
      <c r="D38" t="s">
        <v>151</v>
      </c>
      <c r="E38" t="s">
        <v>152</v>
      </c>
      <c r="F38" t="s">
        <v>153</v>
      </c>
      <c r="G38" s="7" t="str">
        <f t="shared" si="0"/>
        <v>aanya.zhang@alunounipe.com</v>
      </c>
      <c r="H38" s="6">
        <v>42002</v>
      </c>
      <c r="I38" t="s">
        <v>16</v>
      </c>
      <c r="J38" s="6" t="s">
        <v>154</v>
      </c>
      <c r="K38" s="9" t="str">
        <f>LEFT(2)</f>
        <v>2</v>
      </c>
      <c r="L38" s="8" t="str">
        <f t="shared" si="1"/>
        <v>East</v>
      </c>
      <c r="M38" s="8" t="str">
        <f t="shared" si="2"/>
        <v>2793</v>
      </c>
    </row>
    <row r="39" spans="1:13">
      <c r="D39" s="4"/>
    </row>
  </sheetData>
  <hyperlinks>
    <hyperlink ref="G4" r:id="rId1" xr:uid="{181FBE73-C3C8-4FEB-BC68-DAA21A1C6A71}"/>
    <hyperlink ref="G5:G38" r:id="rId2" xr:uid="{2D2D740E-46FD-4AC3-82C1-DD736B3E26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2023-08-31T17:09:11Z</dcterms:created>
  <dcterms:modified xsi:type="dcterms:W3CDTF">2023-09-02T11:42:16Z</dcterms:modified>
  <cp:category/>
  <cp:contentStatus/>
</cp:coreProperties>
</file>