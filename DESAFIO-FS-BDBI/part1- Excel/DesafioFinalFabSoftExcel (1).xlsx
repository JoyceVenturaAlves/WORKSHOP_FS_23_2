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1"/>
  <workbookPr defaultThemeVersion="166925"/>
  <xr:revisionPtr revIDLastSave="0" documentId="8_{A544AF10-25D2-4741-9922-C6CB50E28FD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2" i="1" l="1"/>
  <c r="AA14" i="1"/>
  <c r="AA15" i="1"/>
  <c r="AA16" i="1"/>
  <c r="AA17" i="1"/>
  <c r="AA18" i="1"/>
  <c r="AA13" i="1"/>
  <c r="AA3" i="1"/>
  <c r="AA4" i="1"/>
  <c r="AA5" i="1"/>
  <c r="AA6" i="1"/>
  <c r="AA7" i="1"/>
  <c r="AA8" i="1"/>
  <c r="AA9" i="1"/>
  <c r="AA10" i="1"/>
  <c r="AA11" i="1"/>
  <c r="AA12" i="1"/>
  <c r="AA19" i="1"/>
  <c r="AA20" i="1"/>
  <c r="AA21" i="1"/>
  <c r="AA23" i="1"/>
  <c r="AA24" i="1"/>
  <c r="AA25" i="1"/>
  <c r="AA2" i="1"/>
  <c r="Y8" i="1"/>
  <c r="Y23" i="1"/>
  <c r="Y22" i="1"/>
  <c r="Y14" i="1"/>
  <c r="Y15" i="1"/>
  <c r="Y16" i="1"/>
  <c r="Y17" i="1"/>
  <c r="Y18" i="1"/>
  <c r="Y13" i="1"/>
  <c r="Y6" i="1"/>
  <c r="Y7" i="1"/>
  <c r="Y5" i="1"/>
  <c r="Y4" i="1"/>
  <c r="Y3" i="1"/>
  <c r="Y9" i="1"/>
  <c r="Y10" i="1"/>
  <c r="Y11" i="1"/>
  <c r="Y12" i="1"/>
  <c r="Y19" i="1"/>
  <c r="Y20" i="1"/>
  <c r="Y21" i="1"/>
  <c r="Y24" i="1"/>
  <c r="Y25" i="1"/>
  <c r="Y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</calcChain>
</file>

<file path=xl/sharedStrings.xml><?xml version="1.0" encoding="utf-8"?>
<sst xmlns="http://schemas.openxmlformats.org/spreadsheetml/2006/main" count="140" uniqueCount="70">
  <si>
    <t>Número do Documento</t>
  </si>
  <si>
    <t>Número do Pagamento</t>
  </si>
  <si>
    <t>Pago</t>
  </si>
  <si>
    <t>Faturado</t>
  </si>
  <si>
    <t>Fatura/Crédito</t>
  </si>
  <si>
    <t>Valor Pago</t>
  </si>
  <si>
    <t>Ordem de compra do cliente</t>
  </si>
  <si>
    <t>Número de Registro da empresa</t>
  </si>
  <si>
    <t>Numero da conta</t>
  </si>
  <si>
    <t>Verificação</t>
  </si>
  <si>
    <t>Verdadeiro número do pagamento</t>
  </si>
  <si>
    <t>Detalhe Bancários</t>
  </si>
  <si>
    <t>Mês da fatura</t>
  </si>
  <si>
    <t>Número da ordem de compra</t>
  </si>
  <si>
    <t>Localização</t>
  </si>
  <si>
    <t xml:space="preserve">Tipo </t>
  </si>
  <si>
    <t>Valor</t>
  </si>
  <si>
    <t>abr/17</t>
  </si>
  <si>
    <t>INV</t>
  </si>
  <si>
    <t>742.50</t>
  </si>
  <si>
    <t>PO-Sydney-223809</t>
  </si>
  <si>
    <t>1021.02</t>
  </si>
  <si>
    <t>PO-Melbourn-327600</t>
  </si>
  <si>
    <t>409.53</t>
  </si>
  <si>
    <t>PO-Melbourn-332589</t>
  </si>
  <si>
    <t>CR</t>
  </si>
  <si>
    <t>234.96</t>
  </si>
  <si>
    <t>PO-Melbourn-337131</t>
  </si>
  <si>
    <t>450.12</t>
  </si>
  <si>
    <t>PO-Melbourn-319376</t>
  </si>
  <si>
    <t>114.18</t>
  </si>
  <si>
    <t>PO-Melbourn-334724</t>
  </si>
  <si>
    <t>930.93</t>
  </si>
  <si>
    <t>PO-Melbourn-310607</t>
  </si>
  <si>
    <t>466.29</t>
  </si>
  <si>
    <t>PO-Sydney-226225</t>
  </si>
  <si>
    <t>222.42</t>
  </si>
  <si>
    <t>PO-Sydney-223858</t>
  </si>
  <si>
    <t>679.80</t>
  </si>
  <si>
    <t>PO-Sydney-211781</t>
  </si>
  <si>
    <t>171.93</t>
  </si>
  <si>
    <t>PO-Sydney-232805</t>
  </si>
  <si>
    <t>623.70</t>
  </si>
  <si>
    <t>PO-Melbourn-312187</t>
  </si>
  <si>
    <t>221.10</t>
  </si>
  <si>
    <t>PO-Melbourn-319790</t>
  </si>
  <si>
    <t>393.36</t>
  </si>
  <si>
    <t>PO-Melbourn-327342</t>
  </si>
  <si>
    <t>642.18</t>
  </si>
  <si>
    <t>PO-Melbourn-335460</t>
  </si>
  <si>
    <t>499.95</t>
  </si>
  <si>
    <t>PO-Melbourn-323955</t>
  </si>
  <si>
    <t xml:space="preserve"> abr 07</t>
  </si>
  <si>
    <t>299.64</t>
  </si>
  <si>
    <t>PO-Melbourn-316515</t>
  </si>
  <si>
    <t>312.84</t>
  </si>
  <si>
    <t>PO-Sydney-231320</t>
  </si>
  <si>
    <t>993.63</t>
  </si>
  <si>
    <t>PO-Sydney-213670</t>
  </si>
  <si>
    <t>1053.69</t>
  </si>
  <si>
    <t>PO-Sydney-226166</t>
  </si>
  <si>
    <t>1047.75</t>
  </si>
  <si>
    <t>PO-Melbourn-316479</t>
  </si>
  <si>
    <t>1096.92</t>
  </si>
  <si>
    <t>PO-Sydney-230046</t>
  </si>
  <si>
    <t>257.07</t>
  </si>
  <si>
    <t>PO-Sydney-224680</t>
  </si>
  <si>
    <t>24735_2</t>
  </si>
  <si>
    <t>215.49</t>
  </si>
  <si>
    <t>PO-Sydney-238023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</si>
</sst>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-[$$-409]* #,##0.00_ ;_-[$$-409]* \-#,##0.00\ ;_-[$$-409]* &quot;-&quot;??_ ;_-@_ "/>
    <numFmt numFmtId="166" formatCode="[$$-409]#,##0.00"/>
  </numFmts>
  <fonts count="4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444444"/>
      <name val="Calibri"/>
      <family val="2"/>
      <charset val="1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7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/>
    </xf>
    <xf numFmtId="17" fontId="2" fillId="0" borderId="0" xfId="0" applyNumberFormat="1" applyFont="1" applyAlignment="1">
      <alignment horizontal="center"/>
    </xf>
    <xf numFmtId="4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1" fillId="3" borderId="0" xfId="0" applyFont="1" applyFill="1" applyAlignment="1">
      <alignment vertical="center"/>
    </xf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165" fontId="0" fillId="0" borderId="0" xfId="0" applyNumberFormat="1"/>
    <xf numFmtId="166" fontId="0" fillId="0" borderId="0" xfId="0" applyNumberFormat="1" applyAlignment="1">
      <alignment vertical="center"/>
    </xf>
    <xf numFmtId="165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8"/>
  <sheetViews>
    <sheetView tabSelected="1" workbookViewId="0">
      <selection activeCell="E28" sqref="E28"/>
    </sheetView>
  </sheetViews>
  <sheetFormatPr defaultRowHeight="15"/>
  <cols>
    <col min="11" max="16" width="9.140625" style="1"/>
  </cols>
  <sheetData>
    <row r="1" spans="1:32" s="2" customFormat="1">
      <c r="A1" s="10" t="s">
        <v>0</v>
      </c>
      <c r="B1" s="10"/>
      <c r="C1" s="10" t="s">
        <v>1</v>
      </c>
      <c r="D1" s="10"/>
      <c r="E1" s="5" t="s">
        <v>2</v>
      </c>
      <c r="F1" s="5" t="s">
        <v>3</v>
      </c>
      <c r="G1" s="13" t="s">
        <v>4</v>
      </c>
      <c r="H1" s="13"/>
      <c r="I1" s="13" t="s">
        <v>5</v>
      </c>
      <c r="J1" s="13"/>
      <c r="K1" s="10" t="s">
        <v>6</v>
      </c>
      <c r="L1" s="10"/>
      <c r="M1" s="10" t="s">
        <v>7</v>
      </c>
      <c r="N1" s="10"/>
      <c r="O1" s="13" t="s">
        <v>8</v>
      </c>
      <c r="P1" s="13"/>
      <c r="Q1" s="13" t="s">
        <v>9</v>
      </c>
      <c r="R1" s="13"/>
      <c r="S1" s="20" t="s">
        <v>10</v>
      </c>
      <c r="T1" s="20"/>
      <c r="U1" s="20" t="s">
        <v>11</v>
      </c>
      <c r="V1" s="20"/>
      <c r="W1" s="20" t="s">
        <v>12</v>
      </c>
      <c r="X1" s="20"/>
      <c r="Y1" s="20" t="s">
        <v>13</v>
      </c>
      <c r="Z1" s="20"/>
      <c r="AA1" s="20" t="s">
        <v>14</v>
      </c>
      <c r="AB1" s="20"/>
      <c r="AC1" s="20" t="s">
        <v>15</v>
      </c>
      <c r="AD1" s="20"/>
      <c r="AE1" s="20" t="s">
        <v>16</v>
      </c>
      <c r="AF1" s="20"/>
    </row>
    <row r="2" spans="1:32" s="2" customFormat="1">
      <c r="A2" s="11">
        <v>24673</v>
      </c>
      <c r="B2" s="11"/>
      <c r="C2" s="12">
        <v>1</v>
      </c>
      <c r="D2" s="12"/>
      <c r="E2" s="9" t="s">
        <v>17</v>
      </c>
      <c r="F2" s="6">
        <v>44986</v>
      </c>
      <c r="G2" s="14" t="s">
        <v>18</v>
      </c>
      <c r="H2" s="14"/>
      <c r="I2" s="14" t="s">
        <v>19</v>
      </c>
      <c r="J2" s="14"/>
      <c r="K2" s="14" t="s">
        <v>20</v>
      </c>
      <c r="L2" s="14"/>
      <c r="M2" s="14">
        <v>1641</v>
      </c>
      <c r="N2" s="14"/>
      <c r="O2" s="12">
        <v>7654320</v>
      </c>
      <c r="P2" s="12"/>
      <c r="Q2" s="14">
        <v>72</v>
      </c>
      <c r="R2" s="14"/>
      <c r="S2" s="11" t="str">
        <f>_xlfn.TEXTJOIN("_",TRUE,A2:D2)</f>
        <v>24673_1</v>
      </c>
      <c r="T2" s="11"/>
      <c r="U2" s="12" t="str">
        <f>_xlfn.TEXTJOIN("-",TRUE,M2:P2)</f>
        <v>1641-7654320</v>
      </c>
      <c r="V2" s="12"/>
      <c r="W2" s="22" t="str">
        <f>TEXT(F2, "mmm")</f>
        <v>mar</v>
      </c>
      <c r="X2" s="22"/>
      <c r="Y2" s="14" t="str">
        <f>MID(K2,11,6)</f>
        <v>223809</v>
      </c>
      <c r="Z2" s="14"/>
      <c r="AA2" s="14" t="str">
        <f>MID(K2,4,6)</f>
        <v>Sydney</v>
      </c>
      <c r="AB2" s="14"/>
      <c r="AC2" s="14" t="s">
        <v>18</v>
      </c>
      <c r="AD2" s="14"/>
      <c r="AE2" s="26" t="s">
        <v>19</v>
      </c>
      <c r="AF2" s="26"/>
    </row>
    <row r="3" spans="1:32">
      <c r="A3" s="12">
        <v>24673</v>
      </c>
      <c r="B3" s="12"/>
      <c r="C3" s="12">
        <v>1</v>
      </c>
      <c r="D3" s="12"/>
      <c r="E3" s="3">
        <v>43922</v>
      </c>
      <c r="F3" s="7">
        <v>36982</v>
      </c>
      <c r="G3" s="24" t="s">
        <v>18</v>
      </c>
      <c r="H3" s="24"/>
      <c r="I3" s="24" t="s">
        <v>21</v>
      </c>
      <c r="J3" s="24"/>
      <c r="K3" s="24" t="s">
        <v>22</v>
      </c>
      <c r="L3" s="24"/>
      <c r="M3" s="24">
        <v>2554</v>
      </c>
      <c r="N3" s="24"/>
      <c r="O3" s="21">
        <v>4551221</v>
      </c>
      <c r="P3" s="21"/>
      <c r="Q3" s="24">
        <v>33</v>
      </c>
      <c r="R3" s="24"/>
      <c r="S3" s="11" t="str">
        <f t="shared" ref="S3:S25" si="0">_xlfn.TEXTJOIN("_",TRUE,A3:D3)</f>
        <v>24673_1</v>
      </c>
      <c r="T3" s="11"/>
      <c r="U3" s="12" t="str">
        <f t="shared" ref="U3:U25" si="1">_xlfn.TEXTJOIN("-",TRUE,M3:P3)</f>
        <v>2554-4551221</v>
      </c>
      <c r="V3" s="12"/>
      <c r="W3" s="22" t="str">
        <f t="shared" ref="W3:W25" si="2">TEXT(F3, "mmm")</f>
        <v>abr</v>
      </c>
      <c r="X3" s="22"/>
      <c r="Y3" s="14" t="str">
        <f>MID(K3,13,6)</f>
        <v>327600</v>
      </c>
      <c r="Z3" s="14"/>
      <c r="AA3" s="14" t="str">
        <f>MID(K3,4,8)</f>
        <v>Melbourn</v>
      </c>
      <c r="AB3" s="14"/>
      <c r="AC3" s="24" t="s">
        <v>18</v>
      </c>
      <c r="AD3" s="24"/>
      <c r="AE3" s="27" t="s">
        <v>21</v>
      </c>
      <c r="AF3" s="27"/>
    </row>
    <row r="4" spans="1:32">
      <c r="A4" s="12">
        <v>24675</v>
      </c>
      <c r="B4" s="12"/>
      <c r="C4" s="12">
        <v>1</v>
      </c>
      <c r="D4" s="12"/>
      <c r="E4" s="3">
        <v>38443</v>
      </c>
      <c r="F4" s="7">
        <v>42430</v>
      </c>
      <c r="G4" s="24" t="s">
        <v>18</v>
      </c>
      <c r="H4" s="24"/>
      <c r="I4" s="24" t="s">
        <v>23</v>
      </c>
      <c r="J4" s="24"/>
      <c r="K4" s="15" t="s">
        <v>24</v>
      </c>
      <c r="L4" s="15"/>
      <c r="M4" s="24">
        <v>2554</v>
      </c>
      <c r="N4" s="24"/>
      <c r="O4" s="21">
        <v>4551221</v>
      </c>
      <c r="P4" s="21"/>
      <c r="Q4" s="24">
        <v>33</v>
      </c>
      <c r="R4" s="24"/>
      <c r="S4" s="11" t="str">
        <f t="shared" si="0"/>
        <v>24675_1</v>
      </c>
      <c r="T4" s="11"/>
      <c r="U4" s="12" t="str">
        <f t="shared" si="1"/>
        <v>2554-4551221</v>
      </c>
      <c r="V4" s="12"/>
      <c r="W4" s="22" t="str">
        <f t="shared" si="2"/>
        <v>mar</v>
      </c>
      <c r="X4" s="22"/>
      <c r="Y4" s="14" t="str">
        <f>MID(K4,13,6)</f>
        <v>332589</v>
      </c>
      <c r="Z4" s="14"/>
      <c r="AA4" s="14" t="str">
        <f t="shared" ref="AA4:AA8" si="3">MID(K4,4,8)</f>
        <v>Melbourn</v>
      </c>
      <c r="AB4" s="14"/>
      <c r="AC4" s="24" t="s">
        <v>18</v>
      </c>
      <c r="AD4" s="24"/>
      <c r="AE4" s="27" t="s">
        <v>23</v>
      </c>
      <c r="AF4" s="27"/>
    </row>
    <row r="5" spans="1:32">
      <c r="A5" s="12">
        <v>24676</v>
      </c>
      <c r="B5" s="12"/>
      <c r="C5" s="12">
        <v>1</v>
      </c>
      <c r="D5" s="12"/>
      <c r="E5" s="3">
        <v>43922</v>
      </c>
      <c r="F5" s="7">
        <v>45717</v>
      </c>
      <c r="G5" s="24" t="s">
        <v>25</v>
      </c>
      <c r="H5" s="24"/>
      <c r="I5" s="24" t="s">
        <v>26</v>
      </c>
      <c r="J5" s="24"/>
      <c r="K5" s="15" t="s">
        <v>27</v>
      </c>
      <c r="L5" s="15"/>
      <c r="M5" s="24">
        <v>2554</v>
      </c>
      <c r="N5" s="24"/>
      <c r="O5" s="21">
        <v>4551221</v>
      </c>
      <c r="P5" s="21"/>
      <c r="Q5" s="24">
        <v>33</v>
      </c>
      <c r="R5" s="24"/>
      <c r="S5" s="11" t="str">
        <f t="shared" si="0"/>
        <v>24676_1</v>
      </c>
      <c r="T5" s="11"/>
      <c r="U5" s="12" t="str">
        <f t="shared" si="1"/>
        <v>2554-4551221</v>
      </c>
      <c r="V5" s="12"/>
      <c r="W5" s="22" t="str">
        <f t="shared" si="2"/>
        <v>mar</v>
      </c>
      <c r="X5" s="22"/>
      <c r="Y5" s="14" t="str">
        <f>MID(K5,13,6)</f>
        <v>337131</v>
      </c>
      <c r="Z5" s="14"/>
      <c r="AA5" s="14" t="str">
        <f t="shared" si="3"/>
        <v>Melbourn</v>
      </c>
      <c r="AB5" s="14"/>
      <c r="AC5" s="24" t="s">
        <v>25</v>
      </c>
      <c r="AD5" s="24"/>
      <c r="AE5" s="27" t="s">
        <v>26</v>
      </c>
      <c r="AF5" s="27"/>
    </row>
    <row r="6" spans="1:32">
      <c r="A6" s="12">
        <v>24677</v>
      </c>
      <c r="B6" s="12"/>
      <c r="C6" s="12">
        <v>1</v>
      </c>
      <c r="D6" s="12"/>
      <c r="E6" s="3">
        <v>40269</v>
      </c>
      <c r="F6" s="7">
        <v>42795</v>
      </c>
      <c r="G6" s="24" t="s">
        <v>25</v>
      </c>
      <c r="H6" s="24"/>
      <c r="I6" s="24" t="s">
        <v>28</v>
      </c>
      <c r="J6" s="24"/>
      <c r="K6" s="15" t="s">
        <v>29</v>
      </c>
      <c r="L6" s="15"/>
      <c r="M6" s="24">
        <v>2554</v>
      </c>
      <c r="N6" s="24"/>
      <c r="O6" s="21">
        <v>4551221</v>
      </c>
      <c r="P6" s="21"/>
      <c r="Q6" s="24">
        <v>33</v>
      </c>
      <c r="R6" s="24"/>
      <c r="S6" s="11" t="str">
        <f t="shared" si="0"/>
        <v>24677_1</v>
      </c>
      <c r="T6" s="11"/>
      <c r="U6" s="12" t="str">
        <f t="shared" si="1"/>
        <v>2554-4551221</v>
      </c>
      <c r="V6" s="12"/>
      <c r="W6" s="22" t="str">
        <f t="shared" si="2"/>
        <v>mar</v>
      </c>
      <c r="X6" s="22"/>
      <c r="Y6" s="14" t="str">
        <f t="shared" ref="Y6:Y7" si="4">MID(K6,13,6)</f>
        <v>319376</v>
      </c>
      <c r="Z6" s="14"/>
      <c r="AA6" s="14" t="str">
        <f t="shared" si="3"/>
        <v>Melbourn</v>
      </c>
      <c r="AB6" s="14"/>
      <c r="AC6" s="24" t="s">
        <v>25</v>
      </c>
      <c r="AD6" s="24"/>
      <c r="AE6" s="27" t="s">
        <v>28</v>
      </c>
      <c r="AF6" s="27"/>
    </row>
    <row r="7" spans="1:32">
      <c r="A7" s="12">
        <v>24679</v>
      </c>
      <c r="B7" s="12"/>
      <c r="C7" s="12">
        <v>1</v>
      </c>
      <c r="D7" s="12"/>
      <c r="E7" s="3">
        <v>11049</v>
      </c>
      <c r="F7" s="7">
        <v>39904</v>
      </c>
      <c r="G7" s="24" t="s">
        <v>18</v>
      </c>
      <c r="H7" s="24"/>
      <c r="I7" s="24" t="s">
        <v>30</v>
      </c>
      <c r="J7" s="24"/>
      <c r="K7" s="15" t="s">
        <v>31</v>
      </c>
      <c r="L7" s="15"/>
      <c r="M7" s="24">
        <v>2554</v>
      </c>
      <c r="N7" s="24"/>
      <c r="O7" s="21">
        <v>4551221</v>
      </c>
      <c r="P7" s="21"/>
      <c r="Q7" s="24">
        <v>33</v>
      </c>
      <c r="R7" s="24"/>
      <c r="S7" s="11" t="str">
        <f t="shared" si="0"/>
        <v>24679_1</v>
      </c>
      <c r="T7" s="11"/>
      <c r="U7" s="12" t="str">
        <f t="shared" si="1"/>
        <v>2554-4551221</v>
      </c>
      <c r="V7" s="12"/>
      <c r="W7" s="22" t="str">
        <f t="shared" si="2"/>
        <v>abr</v>
      </c>
      <c r="X7" s="22"/>
      <c r="Y7" s="14" t="str">
        <f t="shared" si="4"/>
        <v>334724</v>
      </c>
      <c r="Z7" s="14"/>
      <c r="AA7" s="14" t="str">
        <f t="shared" si="3"/>
        <v>Melbourn</v>
      </c>
      <c r="AB7" s="14"/>
      <c r="AC7" s="24" t="s">
        <v>18</v>
      </c>
      <c r="AD7" s="24"/>
      <c r="AE7" s="27" t="s">
        <v>30</v>
      </c>
      <c r="AF7" s="27"/>
    </row>
    <row r="8" spans="1:32">
      <c r="A8" s="12">
        <v>24679</v>
      </c>
      <c r="B8" s="12"/>
      <c r="C8" s="12">
        <v>2</v>
      </c>
      <c r="D8" s="12"/>
      <c r="E8" s="3">
        <v>11049</v>
      </c>
      <c r="F8" s="7">
        <v>44986</v>
      </c>
      <c r="G8" s="24" t="s">
        <v>18</v>
      </c>
      <c r="H8" s="24"/>
      <c r="I8" s="24" t="s">
        <v>32</v>
      </c>
      <c r="J8" s="24"/>
      <c r="K8" s="15" t="s">
        <v>33</v>
      </c>
      <c r="L8" s="15"/>
      <c r="M8" s="24">
        <v>2554</v>
      </c>
      <c r="N8" s="24"/>
      <c r="O8" s="21">
        <v>4551221</v>
      </c>
      <c r="P8" s="21"/>
      <c r="Q8" s="24">
        <v>33</v>
      </c>
      <c r="R8" s="24"/>
      <c r="S8" s="11" t="str">
        <f t="shared" si="0"/>
        <v>24679_2</v>
      </c>
      <c r="T8" s="11"/>
      <c r="U8" s="12" t="str">
        <f t="shared" si="1"/>
        <v>2554-4551221</v>
      </c>
      <c r="V8" s="12"/>
      <c r="W8" s="22" t="str">
        <f t="shared" si="2"/>
        <v>mar</v>
      </c>
      <c r="X8" s="22"/>
      <c r="Y8" s="14" t="str">
        <f>MID(K8,13,6)</f>
        <v>310607</v>
      </c>
      <c r="Z8" s="14"/>
      <c r="AA8" s="14" t="str">
        <f t="shared" si="3"/>
        <v>Melbourn</v>
      </c>
      <c r="AB8" s="14"/>
      <c r="AC8" s="24" t="s">
        <v>18</v>
      </c>
      <c r="AD8" s="24"/>
      <c r="AE8" s="27" t="s">
        <v>32</v>
      </c>
      <c r="AF8" s="27"/>
    </row>
    <row r="9" spans="1:32">
      <c r="A9" s="12">
        <v>24680</v>
      </c>
      <c r="B9" s="12"/>
      <c r="C9" s="12">
        <v>1</v>
      </c>
      <c r="D9" s="12"/>
      <c r="E9" s="3">
        <v>41730</v>
      </c>
      <c r="F9" s="7">
        <v>46447</v>
      </c>
      <c r="G9" s="24" t="s">
        <v>18</v>
      </c>
      <c r="H9" s="24"/>
      <c r="I9" s="24" t="s">
        <v>34</v>
      </c>
      <c r="J9" s="24"/>
      <c r="K9" s="16" t="s">
        <v>35</v>
      </c>
      <c r="L9" s="15"/>
      <c r="M9" s="19">
        <v>1641</v>
      </c>
      <c r="N9" s="18"/>
      <c r="O9" s="21">
        <v>7654320</v>
      </c>
      <c r="P9" s="21"/>
      <c r="Q9" s="24">
        <v>72</v>
      </c>
      <c r="R9" s="24"/>
      <c r="S9" s="11" t="str">
        <f t="shared" si="0"/>
        <v>24680_1</v>
      </c>
      <c r="T9" s="11"/>
      <c r="U9" s="12" t="str">
        <f t="shared" si="1"/>
        <v>1641-7654320</v>
      </c>
      <c r="V9" s="12"/>
      <c r="W9" s="22" t="str">
        <f t="shared" si="2"/>
        <v>mar</v>
      </c>
      <c r="X9" s="22"/>
      <c r="Y9" s="14" t="str">
        <f t="shared" ref="Y9:Y25" si="5">MID(K9,11,6)</f>
        <v>226225</v>
      </c>
      <c r="Z9" s="14"/>
      <c r="AA9" s="14" t="str">
        <f t="shared" ref="AA9:AA25" si="6">MID(K9,4,6)</f>
        <v>Sydney</v>
      </c>
      <c r="AB9" s="14"/>
      <c r="AC9" s="24" t="s">
        <v>18</v>
      </c>
      <c r="AD9" s="24"/>
      <c r="AE9" s="27" t="s">
        <v>34</v>
      </c>
      <c r="AF9" s="27"/>
    </row>
    <row r="10" spans="1:32">
      <c r="A10" s="12">
        <v>24683</v>
      </c>
      <c r="B10" s="12"/>
      <c r="C10" s="12">
        <v>1</v>
      </c>
      <c r="D10" s="12"/>
      <c r="E10" s="3">
        <v>46478</v>
      </c>
      <c r="F10" s="7">
        <v>44621</v>
      </c>
      <c r="G10" s="24" t="s">
        <v>18</v>
      </c>
      <c r="H10" s="24"/>
      <c r="I10" s="24" t="s">
        <v>36</v>
      </c>
      <c r="J10" s="24"/>
      <c r="K10" s="15" t="s">
        <v>37</v>
      </c>
      <c r="L10" s="15"/>
      <c r="M10" s="19">
        <v>1641</v>
      </c>
      <c r="N10" s="18"/>
      <c r="O10" s="21">
        <v>7654320</v>
      </c>
      <c r="P10" s="21"/>
      <c r="Q10" s="24">
        <v>72</v>
      </c>
      <c r="R10" s="24"/>
      <c r="S10" s="11" t="str">
        <f t="shared" si="0"/>
        <v>24683_1</v>
      </c>
      <c r="T10" s="11"/>
      <c r="U10" s="12" t="str">
        <f t="shared" si="1"/>
        <v>1641-7654320</v>
      </c>
      <c r="V10" s="12"/>
      <c r="W10" s="22" t="str">
        <f t="shared" si="2"/>
        <v>mar</v>
      </c>
      <c r="X10" s="22"/>
      <c r="Y10" s="14" t="str">
        <f t="shared" si="5"/>
        <v>223858</v>
      </c>
      <c r="Z10" s="14"/>
      <c r="AA10" s="14" t="str">
        <f t="shared" si="6"/>
        <v>Sydney</v>
      </c>
      <c r="AB10" s="14"/>
      <c r="AC10" s="24" t="s">
        <v>18</v>
      </c>
      <c r="AD10" s="24"/>
      <c r="AE10" s="27" t="s">
        <v>36</v>
      </c>
      <c r="AF10" s="27"/>
    </row>
    <row r="11" spans="1:32">
      <c r="A11" s="12">
        <v>24685</v>
      </c>
      <c r="B11" s="12"/>
      <c r="C11" s="12">
        <v>1</v>
      </c>
      <c r="D11" s="12"/>
      <c r="E11" s="3">
        <v>40634</v>
      </c>
      <c r="F11" s="7">
        <v>39873</v>
      </c>
      <c r="G11" s="24" t="s">
        <v>18</v>
      </c>
      <c r="H11" s="24"/>
      <c r="I11" s="24" t="s">
        <v>38</v>
      </c>
      <c r="J11" s="24"/>
      <c r="K11" s="15" t="s">
        <v>39</v>
      </c>
      <c r="L11" s="15"/>
      <c r="M11" s="19">
        <v>1641</v>
      </c>
      <c r="N11" s="18"/>
      <c r="O11" s="21">
        <v>7654320</v>
      </c>
      <c r="P11" s="21"/>
      <c r="Q11" s="24">
        <v>72</v>
      </c>
      <c r="R11" s="24"/>
      <c r="S11" s="11" t="str">
        <f t="shared" si="0"/>
        <v>24685_1</v>
      </c>
      <c r="T11" s="11"/>
      <c r="U11" s="12" t="str">
        <f t="shared" si="1"/>
        <v>1641-7654320</v>
      </c>
      <c r="V11" s="12"/>
      <c r="W11" s="22" t="str">
        <f t="shared" si="2"/>
        <v>mar</v>
      </c>
      <c r="X11" s="22"/>
      <c r="Y11" s="14" t="str">
        <f t="shared" si="5"/>
        <v>211781</v>
      </c>
      <c r="Z11" s="14"/>
      <c r="AA11" s="14" t="str">
        <f t="shared" si="6"/>
        <v>Sydney</v>
      </c>
      <c r="AB11" s="14"/>
      <c r="AC11" s="24" t="s">
        <v>18</v>
      </c>
      <c r="AD11" s="24"/>
      <c r="AE11" s="27" t="s">
        <v>38</v>
      </c>
      <c r="AF11" s="27"/>
    </row>
    <row r="12" spans="1:32">
      <c r="A12" s="12">
        <v>24690</v>
      </c>
      <c r="B12" s="12"/>
      <c r="C12" s="12">
        <v>1</v>
      </c>
      <c r="D12" s="12"/>
      <c r="E12" s="3">
        <v>45017</v>
      </c>
      <c r="F12" s="8">
        <v>38078</v>
      </c>
      <c r="G12" s="24" t="s">
        <v>18</v>
      </c>
      <c r="H12" s="24"/>
      <c r="I12" s="24" t="s">
        <v>40</v>
      </c>
      <c r="J12" s="24"/>
      <c r="K12" s="15" t="s">
        <v>41</v>
      </c>
      <c r="L12" s="15"/>
      <c r="M12" s="19">
        <v>1641</v>
      </c>
      <c r="N12" s="18"/>
      <c r="O12" s="21">
        <v>7654320</v>
      </c>
      <c r="P12" s="21"/>
      <c r="Q12" s="24">
        <v>72</v>
      </c>
      <c r="R12" s="24"/>
      <c r="S12" s="11" t="str">
        <f t="shared" si="0"/>
        <v>24690_1</v>
      </c>
      <c r="T12" s="11"/>
      <c r="U12" s="12" t="str">
        <f t="shared" si="1"/>
        <v>1641-7654320</v>
      </c>
      <c r="V12" s="12"/>
      <c r="W12" s="22" t="str">
        <f t="shared" si="2"/>
        <v>abr</v>
      </c>
      <c r="X12" s="22"/>
      <c r="Y12" s="14" t="str">
        <f t="shared" si="5"/>
        <v>232805</v>
      </c>
      <c r="Z12" s="14"/>
      <c r="AA12" s="14" t="str">
        <f t="shared" si="6"/>
        <v>Sydney</v>
      </c>
      <c r="AB12" s="14"/>
      <c r="AC12" s="24" t="s">
        <v>18</v>
      </c>
      <c r="AD12" s="24"/>
      <c r="AE12" s="27" t="s">
        <v>40</v>
      </c>
      <c r="AF12" s="27"/>
    </row>
    <row r="13" spans="1:32">
      <c r="A13" s="12">
        <v>24693</v>
      </c>
      <c r="B13" s="12"/>
      <c r="C13" s="12">
        <v>1</v>
      </c>
      <c r="D13" s="12"/>
      <c r="E13" s="3">
        <v>38808</v>
      </c>
      <c r="F13" s="7">
        <v>45323</v>
      </c>
      <c r="G13" s="24" t="s">
        <v>18</v>
      </c>
      <c r="H13" s="24"/>
      <c r="I13" s="24" t="s">
        <v>42</v>
      </c>
      <c r="J13" s="24"/>
      <c r="K13" s="15" t="s">
        <v>43</v>
      </c>
      <c r="L13" s="15"/>
      <c r="M13" s="18">
        <v>2554</v>
      </c>
      <c r="N13" s="18"/>
      <c r="O13" s="21">
        <v>4551221</v>
      </c>
      <c r="P13" s="21"/>
      <c r="Q13" s="24">
        <v>33</v>
      </c>
      <c r="R13" s="24"/>
      <c r="S13" s="11" t="str">
        <f t="shared" si="0"/>
        <v>24693_1</v>
      </c>
      <c r="T13" s="11"/>
      <c r="U13" s="12" t="str">
        <f t="shared" si="1"/>
        <v>2554-4551221</v>
      </c>
      <c r="V13" s="12"/>
      <c r="W13" s="22" t="str">
        <f t="shared" si="2"/>
        <v>fev</v>
      </c>
      <c r="X13" s="22"/>
      <c r="Y13" s="14" t="str">
        <f>MID(K13,13,6)</f>
        <v>312187</v>
      </c>
      <c r="Z13" s="14"/>
      <c r="AA13" s="14" t="str">
        <f>MID(K13,4,8)</f>
        <v>Melbourn</v>
      </c>
      <c r="AB13" s="14"/>
      <c r="AC13" s="24" t="s">
        <v>18</v>
      </c>
      <c r="AD13" s="24"/>
      <c r="AE13" s="27" t="s">
        <v>42</v>
      </c>
      <c r="AF13" s="27"/>
    </row>
    <row r="14" spans="1:32">
      <c r="A14" s="12">
        <v>24697</v>
      </c>
      <c r="B14" s="12"/>
      <c r="C14" s="12">
        <v>1</v>
      </c>
      <c r="D14" s="12"/>
      <c r="E14" s="3">
        <v>45383</v>
      </c>
      <c r="F14" s="7">
        <v>47178</v>
      </c>
      <c r="G14" s="24" t="s">
        <v>18</v>
      </c>
      <c r="H14" s="24"/>
      <c r="I14" s="24" t="s">
        <v>44</v>
      </c>
      <c r="J14" s="24"/>
      <c r="K14" s="15" t="s">
        <v>45</v>
      </c>
      <c r="L14" s="15"/>
      <c r="M14" s="18">
        <v>2554</v>
      </c>
      <c r="N14" s="18"/>
      <c r="O14" s="21">
        <v>4551221</v>
      </c>
      <c r="P14" s="21"/>
      <c r="Q14" s="24">
        <v>33</v>
      </c>
      <c r="R14" s="24"/>
      <c r="S14" s="11" t="str">
        <f t="shared" si="0"/>
        <v>24697_1</v>
      </c>
      <c r="T14" s="11"/>
      <c r="U14" s="12" t="str">
        <f t="shared" si="1"/>
        <v>2554-4551221</v>
      </c>
      <c r="V14" s="12"/>
      <c r="W14" s="22" t="str">
        <f t="shared" si="2"/>
        <v>mar</v>
      </c>
      <c r="X14" s="22"/>
      <c r="Y14" s="14" t="str">
        <f t="shared" ref="Y14:Y18" si="7">MID(K14,13,6)</f>
        <v>319790</v>
      </c>
      <c r="Z14" s="14"/>
      <c r="AA14" s="14" t="str">
        <f t="shared" ref="AA14:AA18" si="8">MID(K14,4,8)</f>
        <v>Melbourn</v>
      </c>
      <c r="AB14" s="14"/>
      <c r="AC14" s="24" t="s">
        <v>18</v>
      </c>
      <c r="AD14" s="24"/>
      <c r="AE14" s="27" t="s">
        <v>44</v>
      </c>
      <c r="AF14" s="27"/>
    </row>
    <row r="15" spans="1:32">
      <c r="A15" s="12">
        <v>24698</v>
      </c>
      <c r="B15" s="12"/>
      <c r="C15" s="12">
        <v>1</v>
      </c>
      <c r="D15" s="12"/>
      <c r="E15" s="3">
        <v>46844</v>
      </c>
      <c r="F15" s="8">
        <v>39904</v>
      </c>
      <c r="G15" s="24" t="s">
        <v>18</v>
      </c>
      <c r="H15" s="24"/>
      <c r="I15" s="24" t="s">
        <v>46</v>
      </c>
      <c r="J15" s="24"/>
      <c r="K15" s="15" t="s">
        <v>47</v>
      </c>
      <c r="L15" s="15"/>
      <c r="M15" s="18">
        <v>2554</v>
      </c>
      <c r="N15" s="18"/>
      <c r="O15" s="21">
        <v>4551221</v>
      </c>
      <c r="P15" s="21"/>
      <c r="Q15" s="24">
        <v>33</v>
      </c>
      <c r="R15" s="24"/>
      <c r="S15" s="11" t="str">
        <f t="shared" si="0"/>
        <v>24698_1</v>
      </c>
      <c r="T15" s="11"/>
      <c r="U15" s="12" t="str">
        <f t="shared" si="1"/>
        <v>2554-4551221</v>
      </c>
      <c r="V15" s="12"/>
      <c r="W15" s="22" t="str">
        <f t="shared" si="2"/>
        <v>abr</v>
      </c>
      <c r="X15" s="22"/>
      <c r="Y15" s="14" t="str">
        <f t="shared" si="7"/>
        <v>327342</v>
      </c>
      <c r="Z15" s="14"/>
      <c r="AA15" s="14" t="str">
        <f t="shared" si="8"/>
        <v>Melbourn</v>
      </c>
      <c r="AB15" s="14"/>
      <c r="AC15" s="24" t="s">
        <v>18</v>
      </c>
      <c r="AD15" s="24"/>
      <c r="AE15" s="27" t="s">
        <v>46</v>
      </c>
      <c r="AF15" s="27"/>
    </row>
    <row r="16" spans="1:32">
      <c r="A16" s="12">
        <v>24699</v>
      </c>
      <c r="B16" s="12"/>
      <c r="C16" s="12">
        <v>1</v>
      </c>
      <c r="D16" s="12"/>
      <c r="E16" s="3">
        <v>44287</v>
      </c>
      <c r="F16" s="7">
        <v>39873</v>
      </c>
      <c r="G16" s="24" t="s">
        <v>18</v>
      </c>
      <c r="H16" s="24"/>
      <c r="I16" s="24" t="s">
        <v>48</v>
      </c>
      <c r="J16" s="24"/>
      <c r="K16" s="15" t="s">
        <v>49</v>
      </c>
      <c r="L16" s="15"/>
      <c r="M16" s="18">
        <v>2554</v>
      </c>
      <c r="N16" s="18"/>
      <c r="O16" s="21">
        <v>4551221</v>
      </c>
      <c r="P16" s="21"/>
      <c r="Q16" s="24">
        <v>33</v>
      </c>
      <c r="R16" s="24"/>
      <c r="S16" s="11" t="str">
        <f t="shared" si="0"/>
        <v>24699_1</v>
      </c>
      <c r="T16" s="11"/>
      <c r="U16" s="12" t="str">
        <f t="shared" si="1"/>
        <v>2554-4551221</v>
      </c>
      <c r="V16" s="12"/>
      <c r="W16" s="22" t="str">
        <f t="shared" si="2"/>
        <v>mar</v>
      </c>
      <c r="X16" s="22"/>
      <c r="Y16" s="14" t="str">
        <f t="shared" si="7"/>
        <v>335460</v>
      </c>
      <c r="Z16" s="14"/>
      <c r="AA16" s="14" t="str">
        <f t="shared" si="8"/>
        <v>Melbourn</v>
      </c>
      <c r="AB16" s="14"/>
      <c r="AC16" s="24" t="s">
        <v>18</v>
      </c>
      <c r="AD16" s="24"/>
      <c r="AE16" s="27" t="s">
        <v>48</v>
      </c>
      <c r="AF16" s="27"/>
    </row>
    <row r="17" spans="1:32">
      <c r="A17" s="12">
        <v>24704</v>
      </c>
      <c r="B17" s="12"/>
      <c r="C17" s="12">
        <v>1</v>
      </c>
      <c r="D17" s="12"/>
      <c r="E17" s="3">
        <v>11049</v>
      </c>
      <c r="F17" s="7">
        <v>43525</v>
      </c>
      <c r="G17" s="24" t="s">
        <v>18</v>
      </c>
      <c r="H17" s="24"/>
      <c r="I17" s="24" t="s">
        <v>50</v>
      </c>
      <c r="J17" s="24"/>
      <c r="K17" s="15" t="s">
        <v>51</v>
      </c>
      <c r="L17" s="15"/>
      <c r="M17" s="18">
        <v>2554</v>
      </c>
      <c r="N17" s="18"/>
      <c r="O17" s="21">
        <v>4551221</v>
      </c>
      <c r="P17" s="21"/>
      <c r="Q17" s="24">
        <v>33</v>
      </c>
      <c r="R17" s="24"/>
      <c r="S17" s="11" t="str">
        <f t="shared" si="0"/>
        <v>24704_1</v>
      </c>
      <c r="T17" s="11"/>
      <c r="U17" s="12" t="str">
        <f t="shared" si="1"/>
        <v>2554-4551221</v>
      </c>
      <c r="V17" s="12"/>
      <c r="W17" s="22" t="str">
        <f t="shared" si="2"/>
        <v>mar</v>
      </c>
      <c r="X17" s="22"/>
      <c r="Y17" s="14" t="str">
        <f t="shared" si="7"/>
        <v>323955</v>
      </c>
      <c r="Z17" s="14"/>
      <c r="AA17" s="14" t="str">
        <f t="shared" si="8"/>
        <v>Melbourn</v>
      </c>
      <c r="AB17" s="14"/>
      <c r="AC17" s="24" t="s">
        <v>18</v>
      </c>
      <c r="AD17" s="24"/>
      <c r="AE17" s="27" t="s">
        <v>50</v>
      </c>
      <c r="AF17" s="27"/>
    </row>
    <row r="18" spans="1:32">
      <c r="A18" s="12">
        <v>24707</v>
      </c>
      <c r="B18" s="12"/>
      <c r="C18" s="12">
        <v>1</v>
      </c>
      <c r="D18" s="12"/>
      <c r="E18" s="4" t="s">
        <v>52</v>
      </c>
      <c r="F18" s="7">
        <v>47150</v>
      </c>
      <c r="G18" s="24" t="s">
        <v>18</v>
      </c>
      <c r="H18" s="24"/>
      <c r="I18" s="24" t="s">
        <v>53</v>
      </c>
      <c r="J18" s="24"/>
      <c r="K18" s="15" t="s">
        <v>54</v>
      </c>
      <c r="L18" s="15"/>
      <c r="M18" s="18">
        <v>2554</v>
      </c>
      <c r="N18" s="18"/>
      <c r="O18" s="21">
        <v>4551221</v>
      </c>
      <c r="P18" s="21"/>
      <c r="Q18" s="24">
        <v>33</v>
      </c>
      <c r="R18" s="24"/>
      <c r="S18" s="11" t="str">
        <f t="shared" si="0"/>
        <v>24707_1</v>
      </c>
      <c r="T18" s="11"/>
      <c r="U18" s="12" t="str">
        <f t="shared" si="1"/>
        <v>2554-4551221</v>
      </c>
      <c r="V18" s="12"/>
      <c r="W18" s="22" t="str">
        <f t="shared" si="2"/>
        <v>fev</v>
      </c>
      <c r="X18" s="22"/>
      <c r="Y18" s="14" t="str">
        <f t="shared" si="7"/>
        <v>316515</v>
      </c>
      <c r="Z18" s="14"/>
      <c r="AA18" s="14" t="str">
        <f t="shared" si="8"/>
        <v>Melbourn</v>
      </c>
      <c r="AB18" s="14"/>
      <c r="AC18" s="24" t="s">
        <v>18</v>
      </c>
      <c r="AD18" s="24"/>
      <c r="AE18" s="27" t="s">
        <v>53</v>
      </c>
      <c r="AF18" s="27"/>
    </row>
    <row r="19" spans="1:32">
      <c r="A19" s="12">
        <v>24712</v>
      </c>
      <c r="B19" s="12"/>
      <c r="C19" s="12">
        <v>1</v>
      </c>
      <c r="D19" s="12"/>
      <c r="E19" s="3">
        <v>11049</v>
      </c>
      <c r="F19" s="7">
        <v>44621</v>
      </c>
      <c r="G19" s="24" t="s">
        <v>18</v>
      </c>
      <c r="H19" s="24"/>
      <c r="I19" s="24" t="s">
        <v>55</v>
      </c>
      <c r="J19" s="24"/>
      <c r="K19" s="15" t="s">
        <v>56</v>
      </c>
      <c r="L19" s="15"/>
      <c r="M19" s="18">
        <v>1641</v>
      </c>
      <c r="N19" s="18"/>
      <c r="O19" s="21">
        <v>7654320</v>
      </c>
      <c r="P19" s="21"/>
      <c r="Q19" s="24">
        <v>72</v>
      </c>
      <c r="R19" s="24"/>
      <c r="S19" s="11" t="str">
        <f t="shared" si="0"/>
        <v>24712_1</v>
      </c>
      <c r="T19" s="11"/>
      <c r="U19" s="12" t="str">
        <f t="shared" si="1"/>
        <v>1641-7654320</v>
      </c>
      <c r="V19" s="12"/>
      <c r="W19" s="22" t="str">
        <f t="shared" si="2"/>
        <v>mar</v>
      </c>
      <c r="X19" s="22"/>
      <c r="Y19" s="14" t="str">
        <f t="shared" si="5"/>
        <v>231320</v>
      </c>
      <c r="Z19" s="14"/>
      <c r="AA19" s="14" t="str">
        <f t="shared" si="6"/>
        <v>Sydney</v>
      </c>
      <c r="AB19" s="14"/>
      <c r="AC19" s="24" t="s">
        <v>18</v>
      </c>
      <c r="AD19" s="24"/>
      <c r="AE19" s="27" t="s">
        <v>55</v>
      </c>
      <c r="AF19" s="27"/>
    </row>
    <row r="20" spans="1:32">
      <c r="A20" s="12">
        <v>24717</v>
      </c>
      <c r="B20" s="12"/>
      <c r="C20" s="12">
        <v>1</v>
      </c>
      <c r="D20" s="12"/>
      <c r="E20" s="3">
        <v>38443</v>
      </c>
      <c r="F20" s="7">
        <v>41699</v>
      </c>
      <c r="G20" s="24" t="s">
        <v>18</v>
      </c>
      <c r="H20" s="24"/>
      <c r="I20" s="24" t="s">
        <v>57</v>
      </c>
      <c r="J20" s="24"/>
      <c r="K20" s="15" t="s">
        <v>58</v>
      </c>
      <c r="L20" s="15"/>
      <c r="M20" s="18">
        <v>1641</v>
      </c>
      <c r="N20" s="18"/>
      <c r="O20" s="21">
        <v>7654320</v>
      </c>
      <c r="P20" s="21"/>
      <c r="Q20" s="24">
        <v>72</v>
      </c>
      <c r="R20" s="24"/>
      <c r="S20" s="11" t="str">
        <f t="shared" si="0"/>
        <v>24717_1</v>
      </c>
      <c r="T20" s="11"/>
      <c r="U20" s="12" t="str">
        <f t="shared" si="1"/>
        <v>1641-7654320</v>
      </c>
      <c r="V20" s="12"/>
      <c r="W20" s="22" t="str">
        <f t="shared" si="2"/>
        <v>mar</v>
      </c>
      <c r="X20" s="22"/>
      <c r="Y20" s="14" t="str">
        <f t="shared" si="5"/>
        <v>213670</v>
      </c>
      <c r="Z20" s="14"/>
      <c r="AA20" s="14" t="str">
        <f t="shared" si="6"/>
        <v>Sydney</v>
      </c>
      <c r="AB20" s="14"/>
      <c r="AC20" s="24" t="s">
        <v>18</v>
      </c>
      <c r="AD20" s="24"/>
      <c r="AE20" s="27" t="s">
        <v>57</v>
      </c>
      <c r="AF20" s="27"/>
    </row>
    <row r="21" spans="1:32">
      <c r="A21" s="12">
        <v>24722</v>
      </c>
      <c r="B21" s="12"/>
      <c r="C21" s="12">
        <v>1</v>
      </c>
      <c r="D21" s="12"/>
      <c r="E21" s="3">
        <v>36982</v>
      </c>
      <c r="F21" s="7">
        <v>46447</v>
      </c>
      <c r="G21" s="24" t="s">
        <v>18</v>
      </c>
      <c r="H21" s="24"/>
      <c r="I21" s="24" t="s">
        <v>59</v>
      </c>
      <c r="J21" s="24"/>
      <c r="K21" s="15" t="s">
        <v>60</v>
      </c>
      <c r="L21" s="15"/>
      <c r="M21" s="18">
        <v>1641</v>
      </c>
      <c r="N21" s="18"/>
      <c r="O21" s="21">
        <v>7654320</v>
      </c>
      <c r="P21" s="21"/>
      <c r="Q21" s="24">
        <v>72</v>
      </c>
      <c r="R21" s="24"/>
      <c r="S21" s="11" t="str">
        <f t="shared" si="0"/>
        <v>24722_1</v>
      </c>
      <c r="T21" s="11"/>
      <c r="U21" s="12" t="str">
        <f t="shared" si="1"/>
        <v>1641-7654320</v>
      </c>
      <c r="V21" s="12"/>
      <c r="W21" s="22" t="str">
        <f t="shared" si="2"/>
        <v>mar</v>
      </c>
      <c r="X21" s="22"/>
      <c r="Y21" s="14" t="str">
        <f t="shared" si="5"/>
        <v>226166</v>
      </c>
      <c r="Z21" s="14"/>
      <c r="AA21" s="14" t="str">
        <f t="shared" si="6"/>
        <v>Sydney</v>
      </c>
      <c r="AB21" s="14"/>
      <c r="AC21" s="24" t="s">
        <v>18</v>
      </c>
      <c r="AD21" s="24"/>
      <c r="AE21" s="27" t="s">
        <v>59</v>
      </c>
      <c r="AF21" s="27"/>
    </row>
    <row r="22" spans="1:32">
      <c r="A22" s="12">
        <v>24727</v>
      </c>
      <c r="B22" s="12"/>
      <c r="C22" s="12">
        <v>1</v>
      </c>
      <c r="D22" s="12"/>
      <c r="E22" s="3">
        <v>11049</v>
      </c>
      <c r="F22" s="7">
        <v>39539</v>
      </c>
      <c r="G22" s="24" t="s">
        <v>18</v>
      </c>
      <c r="H22" s="24"/>
      <c r="I22" t="s">
        <v>61</v>
      </c>
      <c r="K22" s="17" t="s">
        <v>62</v>
      </c>
      <c r="L22" s="15"/>
      <c r="M22" s="18">
        <v>2554</v>
      </c>
      <c r="N22" s="18"/>
      <c r="O22" s="23">
        <v>4551221</v>
      </c>
      <c r="P22" s="21"/>
      <c r="Q22" s="24">
        <v>33</v>
      </c>
      <c r="R22" s="24"/>
      <c r="S22" s="11" t="str">
        <f t="shared" si="0"/>
        <v>24727_1</v>
      </c>
      <c r="T22" s="11"/>
      <c r="U22" s="12" t="str">
        <f t="shared" si="1"/>
        <v>2554-4551221</v>
      </c>
      <c r="V22" s="12"/>
      <c r="W22" s="22" t="str">
        <f t="shared" si="2"/>
        <v>abr</v>
      </c>
      <c r="X22" s="22"/>
      <c r="Y22" s="14" t="str">
        <f>MID(K22,13,6)</f>
        <v>316479</v>
      </c>
      <c r="Z22" s="14"/>
      <c r="AA22" s="14" t="str">
        <f>MID(K22,4,8)</f>
        <v>Melbourn</v>
      </c>
      <c r="AB22" s="14"/>
      <c r="AC22" s="24" t="s">
        <v>18</v>
      </c>
      <c r="AD22" s="24"/>
      <c r="AE22" s="25" t="s">
        <v>61</v>
      </c>
      <c r="AF22" s="25"/>
    </row>
    <row r="23" spans="1:32">
      <c r="A23" s="12">
        <v>24730</v>
      </c>
      <c r="B23" s="12"/>
      <c r="C23" s="12">
        <v>1</v>
      </c>
      <c r="D23" s="12"/>
      <c r="E23" s="3">
        <v>39539</v>
      </c>
      <c r="F23" s="7">
        <v>46419</v>
      </c>
      <c r="G23" s="24" t="s">
        <v>18</v>
      </c>
      <c r="H23" s="24"/>
      <c r="I23" s="24" t="s">
        <v>63</v>
      </c>
      <c r="J23" s="24"/>
      <c r="K23" s="17" t="s">
        <v>64</v>
      </c>
      <c r="L23" s="15"/>
      <c r="M23" s="18">
        <v>1641</v>
      </c>
      <c r="N23" s="18"/>
      <c r="O23" s="21">
        <v>7654320</v>
      </c>
      <c r="P23" s="21"/>
      <c r="Q23" s="24">
        <v>72</v>
      </c>
      <c r="R23" s="24"/>
      <c r="S23" s="11" t="str">
        <f t="shared" si="0"/>
        <v>24730_1</v>
      </c>
      <c r="T23" s="11"/>
      <c r="U23" s="12" t="str">
        <f t="shared" si="1"/>
        <v>1641-7654320</v>
      </c>
      <c r="V23" s="12"/>
      <c r="W23" s="22" t="str">
        <f t="shared" si="2"/>
        <v>fev</v>
      </c>
      <c r="X23" s="22"/>
      <c r="Y23" s="14" t="str">
        <f>MID(K23,11,6)</f>
        <v>230046</v>
      </c>
      <c r="Z23" s="14"/>
      <c r="AA23" s="14" t="str">
        <f t="shared" si="6"/>
        <v>Sydney</v>
      </c>
      <c r="AB23" s="14"/>
      <c r="AC23" s="24" t="s">
        <v>18</v>
      </c>
      <c r="AD23" s="24"/>
      <c r="AE23" s="27" t="s">
        <v>63</v>
      </c>
      <c r="AF23" s="27"/>
    </row>
    <row r="24" spans="1:32">
      <c r="A24" s="12">
        <v>24732</v>
      </c>
      <c r="B24" s="12"/>
      <c r="C24" s="12">
        <v>1</v>
      </c>
      <c r="D24" s="12"/>
      <c r="E24" s="3">
        <v>39173</v>
      </c>
      <c r="F24" s="7">
        <v>45689</v>
      </c>
      <c r="G24" s="24" t="s">
        <v>18</v>
      </c>
      <c r="H24" s="24"/>
      <c r="I24" s="24" t="s">
        <v>65</v>
      </c>
      <c r="J24" s="24"/>
      <c r="K24" s="17" t="s">
        <v>66</v>
      </c>
      <c r="L24" s="15"/>
      <c r="M24" s="18">
        <v>1641</v>
      </c>
      <c r="N24" s="18"/>
      <c r="O24" s="21">
        <v>7654320</v>
      </c>
      <c r="P24" s="21"/>
      <c r="Q24" s="24">
        <v>72</v>
      </c>
      <c r="R24" s="24"/>
      <c r="S24" s="11" t="str">
        <f t="shared" si="0"/>
        <v>24732_1</v>
      </c>
      <c r="T24" s="11"/>
      <c r="U24" s="12" t="str">
        <f t="shared" si="1"/>
        <v>1641-7654320</v>
      </c>
      <c r="V24" s="12"/>
      <c r="W24" s="22" t="str">
        <f t="shared" si="2"/>
        <v>fev</v>
      </c>
      <c r="X24" s="22"/>
      <c r="Y24" s="14" t="str">
        <f t="shared" si="5"/>
        <v>224680</v>
      </c>
      <c r="Z24" s="14"/>
      <c r="AA24" s="14" t="str">
        <f t="shared" si="6"/>
        <v>Sydney</v>
      </c>
      <c r="AB24" s="14"/>
      <c r="AC24" s="24" t="s">
        <v>18</v>
      </c>
      <c r="AD24" s="24"/>
      <c r="AE24" s="27" t="s">
        <v>65</v>
      </c>
      <c r="AF24" s="27"/>
    </row>
    <row r="25" spans="1:32">
      <c r="A25" s="12" t="s">
        <v>67</v>
      </c>
      <c r="B25" s="12"/>
      <c r="C25" s="12">
        <v>2</v>
      </c>
      <c r="D25" s="12"/>
      <c r="E25" s="3">
        <v>46844</v>
      </c>
      <c r="F25" s="7">
        <v>45383</v>
      </c>
      <c r="G25" s="24" t="s">
        <v>18</v>
      </c>
      <c r="H25" s="24"/>
      <c r="I25" s="24" t="s">
        <v>68</v>
      </c>
      <c r="J25" s="24"/>
      <c r="K25" s="17" t="s">
        <v>69</v>
      </c>
      <c r="L25" s="15"/>
      <c r="M25" s="18">
        <v>1641</v>
      </c>
      <c r="N25" s="18"/>
      <c r="O25" s="21">
        <v>7654320</v>
      </c>
      <c r="P25" s="21"/>
      <c r="Q25" s="24">
        <v>72</v>
      </c>
      <c r="R25" s="24"/>
      <c r="S25" s="11" t="str">
        <f t="shared" si="0"/>
        <v>24735_2_2</v>
      </c>
      <c r="T25" s="11"/>
      <c r="U25" s="12" t="str">
        <f t="shared" si="1"/>
        <v>1641-7654320</v>
      </c>
      <c r="V25" s="12"/>
      <c r="W25" s="22" t="str">
        <f t="shared" si="2"/>
        <v>abr</v>
      </c>
      <c r="X25" s="22"/>
      <c r="Y25" s="14" t="str">
        <f t="shared" si="5"/>
        <v>238023</v>
      </c>
      <c r="Z25" s="14"/>
      <c r="AA25" s="14" t="str">
        <f t="shared" si="6"/>
        <v>Sydney</v>
      </c>
      <c r="AB25" s="14"/>
      <c r="AC25" s="24" t="s">
        <v>18</v>
      </c>
      <c r="AD25" s="24"/>
      <c r="AE25" s="27" t="s">
        <v>68</v>
      </c>
      <c r="AF25" s="27"/>
    </row>
    <row r="26" spans="1:32">
      <c r="A26" s="24"/>
      <c r="B26" s="24"/>
      <c r="C26" s="24"/>
      <c r="D26" s="24"/>
      <c r="G26" s="24"/>
      <c r="H26" s="24"/>
      <c r="I26" s="24"/>
      <c r="J26" s="24"/>
      <c r="K26" s="15"/>
      <c r="L26" s="15"/>
      <c r="M26" s="15"/>
      <c r="N26" s="15"/>
      <c r="O26" s="15"/>
      <c r="P26" s="15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</row>
    <row r="27" spans="1:32">
      <c r="A27" s="24"/>
      <c r="B27" s="24"/>
      <c r="C27" s="24"/>
      <c r="D27" s="24"/>
      <c r="G27" s="24"/>
      <c r="H27" s="24"/>
      <c r="I27" s="24"/>
      <c r="J27" s="24"/>
      <c r="K27" s="15"/>
      <c r="L27" s="15"/>
      <c r="M27" s="15"/>
      <c r="N27" s="15"/>
      <c r="O27" s="15"/>
      <c r="P27" s="15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</row>
    <row r="28" spans="1:32">
      <c r="A28" s="24"/>
      <c r="B28" s="24"/>
      <c r="C28" s="24"/>
      <c r="D28" s="24"/>
      <c r="G28" s="24"/>
      <c r="H28" s="24"/>
      <c r="I28" s="24"/>
      <c r="J28" s="24"/>
      <c r="K28" s="15"/>
      <c r="L28" s="15"/>
      <c r="M28" s="15"/>
      <c r="N28" s="15"/>
      <c r="O28" s="15"/>
      <c r="P28" s="15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</row>
    <row r="29" spans="1:32">
      <c r="A29" s="24"/>
      <c r="B29" s="24"/>
      <c r="C29" s="24"/>
      <c r="D29" s="24"/>
      <c r="G29" s="24"/>
      <c r="H29" s="24"/>
      <c r="I29" s="24"/>
      <c r="J29" s="24"/>
      <c r="K29" s="15"/>
      <c r="L29" s="15"/>
      <c r="M29" s="15"/>
      <c r="N29" s="15"/>
      <c r="O29" s="15"/>
      <c r="P29" s="15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</row>
    <row r="30" spans="1:32">
      <c r="A30" s="24"/>
      <c r="B30" s="24"/>
      <c r="C30" s="24"/>
      <c r="D30" s="24"/>
      <c r="G30" s="24"/>
      <c r="H30" s="24"/>
      <c r="I30" s="24"/>
      <c r="J30" s="24"/>
      <c r="K30" s="15"/>
      <c r="L30" s="15"/>
      <c r="M30" s="15"/>
      <c r="N30" s="15"/>
      <c r="O30" s="15"/>
      <c r="P30" s="15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</row>
    <row r="31" spans="1:32">
      <c r="A31" s="24"/>
      <c r="B31" s="24"/>
      <c r="C31" s="24"/>
      <c r="D31" s="24"/>
      <c r="G31" s="24"/>
      <c r="H31" s="24"/>
      <c r="I31" s="24"/>
      <c r="J31" s="24"/>
      <c r="K31" s="15"/>
      <c r="L31" s="15"/>
      <c r="M31" s="15"/>
      <c r="N31" s="15"/>
      <c r="O31" s="15"/>
      <c r="P31" s="15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</row>
    <row r="32" spans="1:32">
      <c r="A32" s="24"/>
      <c r="B32" s="24"/>
      <c r="C32" s="24"/>
      <c r="D32" s="24"/>
      <c r="G32" s="24"/>
      <c r="H32" s="24"/>
      <c r="I32" s="24"/>
      <c r="J32" s="24"/>
      <c r="K32" s="15"/>
      <c r="L32" s="15"/>
      <c r="M32" s="15"/>
      <c r="N32" s="15"/>
      <c r="O32" s="15"/>
      <c r="P32" s="15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</row>
    <row r="33" spans="1:32">
      <c r="A33" s="24"/>
      <c r="B33" s="24"/>
      <c r="C33" s="24"/>
      <c r="D33" s="24"/>
      <c r="G33" s="24"/>
      <c r="H33" s="24"/>
      <c r="I33" s="24"/>
      <c r="J33" s="24"/>
      <c r="K33" s="15"/>
      <c r="L33" s="15"/>
      <c r="M33" s="15"/>
      <c r="N33" s="15"/>
      <c r="O33" s="15"/>
      <c r="P33" s="15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</row>
    <row r="34" spans="1:32">
      <c r="A34" s="24"/>
      <c r="B34" s="24"/>
      <c r="C34" s="24"/>
      <c r="D34" s="24"/>
      <c r="G34" s="24"/>
      <c r="H34" s="24"/>
      <c r="I34" s="24"/>
      <c r="J34" s="24"/>
      <c r="K34" s="15"/>
      <c r="L34" s="15"/>
      <c r="M34" s="15"/>
      <c r="N34" s="15"/>
      <c r="O34" s="15"/>
      <c r="P34" s="15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</row>
    <row r="35" spans="1:32">
      <c r="A35" s="24"/>
      <c r="B35" s="24"/>
      <c r="C35" s="24"/>
      <c r="D35" s="24"/>
      <c r="G35" s="24"/>
      <c r="H35" s="24"/>
      <c r="I35" s="24"/>
      <c r="J35" s="24"/>
      <c r="K35" s="15"/>
      <c r="L35" s="15"/>
      <c r="M35" s="15"/>
      <c r="N35" s="15"/>
      <c r="O35" s="15"/>
      <c r="P35" s="15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</row>
    <row r="36" spans="1:32">
      <c r="A36" s="24"/>
      <c r="B36" s="24"/>
      <c r="C36" s="24"/>
      <c r="D36" s="24"/>
      <c r="G36" s="24"/>
      <c r="H36" s="24"/>
      <c r="I36" s="24"/>
      <c r="J36" s="24"/>
      <c r="K36" s="15"/>
      <c r="L36" s="15"/>
      <c r="M36" s="15"/>
      <c r="N36" s="15"/>
      <c r="O36" s="15"/>
      <c r="P36" s="15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</row>
    <row r="37" spans="1:32">
      <c r="A37" s="24"/>
      <c r="B37" s="24"/>
      <c r="C37" s="24"/>
      <c r="D37" s="24"/>
      <c r="G37" s="24"/>
      <c r="H37" s="24"/>
      <c r="I37" s="24"/>
      <c r="J37" s="24"/>
      <c r="K37" s="15"/>
      <c r="L37" s="15"/>
      <c r="M37" s="15"/>
      <c r="N37" s="15"/>
      <c r="O37" s="15"/>
      <c r="P37" s="15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</row>
    <row r="38" spans="1:32">
      <c r="A38" s="24"/>
      <c r="B38" s="24"/>
      <c r="C38" s="24"/>
      <c r="D38" s="24"/>
      <c r="G38" s="24"/>
      <c r="H38" s="24"/>
      <c r="I38" s="24"/>
      <c r="J38" s="24"/>
      <c r="K38" s="15"/>
      <c r="L38" s="15"/>
      <c r="M38" s="15"/>
      <c r="N38" s="15"/>
      <c r="O38" s="15"/>
      <c r="P38" s="15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</row>
    <row r="39" spans="1:32">
      <c r="A39" s="24"/>
      <c r="B39" s="24"/>
      <c r="C39" s="24"/>
      <c r="D39" s="24"/>
      <c r="G39" s="24"/>
      <c r="H39" s="24"/>
      <c r="I39" s="24"/>
      <c r="J39" s="24"/>
      <c r="K39" s="15"/>
      <c r="L39" s="15"/>
      <c r="M39" s="15"/>
      <c r="N39" s="15"/>
      <c r="O39" s="15"/>
      <c r="P39" s="15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</row>
    <row r="40" spans="1:32">
      <c r="A40" s="24"/>
      <c r="B40" s="24"/>
      <c r="C40" s="24"/>
      <c r="D40" s="24"/>
      <c r="G40" s="24"/>
      <c r="H40" s="24"/>
      <c r="I40" s="24"/>
      <c r="J40" s="24"/>
      <c r="K40" s="15"/>
      <c r="L40" s="15"/>
      <c r="M40" s="15"/>
      <c r="N40" s="15"/>
      <c r="O40" s="15"/>
      <c r="P40" s="15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</row>
    <row r="41" spans="1:32">
      <c r="A41" s="24"/>
      <c r="B41" s="24"/>
      <c r="C41" s="24"/>
      <c r="D41" s="24"/>
      <c r="G41" s="24"/>
      <c r="H41" s="24"/>
      <c r="I41" s="24"/>
      <c r="J41" s="24"/>
      <c r="K41" s="15"/>
      <c r="L41" s="15"/>
      <c r="M41" s="15"/>
      <c r="N41" s="15"/>
      <c r="O41" s="15"/>
      <c r="P41" s="15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</row>
    <row r="42" spans="1:32">
      <c r="A42" s="24"/>
      <c r="B42" s="24"/>
      <c r="C42" s="24"/>
      <c r="D42" s="24"/>
      <c r="G42" s="24"/>
      <c r="H42" s="24"/>
      <c r="I42" s="24"/>
      <c r="J42" s="24"/>
      <c r="K42" s="15"/>
      <c r="L42" s="15"/>
      <c r="M42" s="15"/>
      <c r="N42" s="15"/>
      <c r="O42" s="15"/>
      <c r="P42" s="15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</row>
    <row r="43" spans="1:32">
      <c r="A43" s="24"/>
      <c r="B43" s="24"/>
      <c r="C43" s="24"/>
      <c r="D43" s="24"/>
      <c r="G43" s="24"/>
      <c r="H43" s="24"/>
      <c r="I43" s="24"/>
      <c r="J43" s="24"/>
      <c r="K43" s="15"/>
      <c r="L43" s="15"/>
      <c r="M43" s="15"/>
      <c r="N43" s="15"/>
      <c r="O43" s="15"/>
      <c r="P43" s="15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</row>
    <row r="44" spans="1:32">
      <c r="A44" s="24"/>
      <c r="B44" s="24"/>
      <c r="C44" s="24"/>
      <c r="D44" s="24"/>
      <c r="G44" s="24"/>
      <c r="H44" s="24"/>
      <c r="I44" s="24"/>
      <c r="J44" s="24"/>
      <c r="K44" s="15"/>
      <c r="L44" s="15"/>
      <c r="M44" s="15"/>
      <c r="N44" s="15"/>
      <c r="O44" s="15"/>
      <c r="P44" s="15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</row>
    <row r="45" spans="1:32">
      <c r="A45" s="24"/>
      <c r="B45" s="24"/>
      <c r="C45" s="24"/>
      <c r="D45" s="24"/>
      <c r="G45" s="24"/>
      <c r="H45" s="24"/>
      <c r="I45" s="24"/>
      <c r="J45" s="24"/>
      <c r="K45" s="15"/>
      <c r="L45" s="15"/>
      <c r="M45" s="15"/>
      <c r="N45" s="15"/>
      <c r="O45" s="15"/>
      <c r="P45" s="15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</row>
    <row r="46" spans="1:32">
      <c r="A46" s="24"/>
      <c r="B46" s="24"/>
      <c r="C46" s="24"/>
      <c r="D46" s="24"/>
      <c r="G46" s="24"/>
      <c r="H46" s="24"/>
      <c r="I46" s="24"/>
      <c r="J46" s="24"/>
      <c r="K46" s="15"/>
      <c r="L46" s="15"/>
      <c r="M46" s="15"/>
      <c r="N46" s="15"/>
      <c r="O46" s="15"/>
      <c r="P46" s="15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</row>
    <row r="47" spans="1:32">
      <c r="A47" s="24"/>
      <c r="B47" s="24"/>
      <c r="C47" s="24"/>
      <c r="D47" s="24"/>
      <c r="G47" s="24"/>
      <c r="H47" s="24"/>
      <c r="I47" s="24"/>
      <c r="J47" s="24"/>
      <c r="K47" s="15"/>
      <c r="L47" s="15"/>
      <c r="M47" s="15"/>
      <c r="N47" s="15"/>
      <c r="O47" s="15"/>
      <c r="P47" s="15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</row>
    <row r="48" spans="1:32">
      <c r="A48" s="24"/>
      <c r="B48" s="24"/>
      <c r="C48" s="24"/>
      <c r="D48" s="24"/>
      <c r="G48" s="24"/>
      <c r="H48" s="24"/>
      <c r="I48" s="24"/>
      <c r="J48" s="24"/>
      <c r="K48" s="15"/>
      <c r="L48" s="15"/>
      <c r="M48" s="15"/>
      <c r="N48" s="15"/>
      <c r="O48" s="15"/>
      <c r="P48" s="15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</row>
    <row r="49" spans="1:32">
      <c r="A49" s="24"/>
      <c r="B49" s="24"/>
      <c r="C49" s="24"/>
      <c r="D49" s="24"/>
      <c r="G49" s="24"/>
      <c r="H49" s="24"/>
      <c r="I49" s="24"/>
      <c r="J49" s="24"/>
      <c r="K49" s="15"/>
      <c r="L49" s="15"/>
      <c r="M49" s="15"/>
      <c r="N49" s="15"/>
      <c r="O49" s="15"/>
      <c r="P49" s="15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</row>
    <row r="50" spans="1:32">
      <c r="A50" s="24"/>
      <c r="B50" s="24"/>
      <c r="C50" s="24"/>
      <c r="D50" s="24"/>
      <c r="G50" s="24"/>
      <c r="H50" s="24"/>
      <c r="I50" s="24"/>
      <c r="J50" s="24"/>
      <c r="K50" s="15"/>
      <c r="L50" s="15"/>
      <c r="M50" s="15"/>
      <c r="N50" s="15"/>
      <c r="O50" s="15"/>
      <c r="P50" s="15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</row>
    <row r="51" spans="1:32">
      <c r="A51" s="24"/>
      <c r="B51" s="24"/>
      <c r="C51" s="24"/>
      <c r="D51" s="24"/>
      <c r="G51" s="24"/>
      <c r="H51" s="24"/>
      <c r="I51" s="24"/>
      <c r="J51" s="24"/>
      <c r="K51" s="15"/>
      <c r="L51" s="15"/>
      <c r="M51" s="15"/>
      <c r="N51" s="15"/>
      <c r="O51" s="15"/>
      <c r="P51" s="15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</row>
    <row r="52" spans="1:32">
      <c r="A52" s="24"/>
      <c r="B52" s="24"/>
      <c r="C52" s="24"/>
      <c r="D52" s="24"/>
      <c r="G52" s="24"/>
      <c r="H52" s="24"/>
      <c r="I52" s="24"/>
      <c r="J52" s="24"/>
      <c r="K52" s="15"/>
      <c r="L52" s="15"/>
      <c r="M52" s="15"/>
      <c r="N52" s="15"/>
      <c r="O52" s="15"/>
      <c r="P52" s="15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</row>
    <row r="53" spans="1:32">
      <c r="A53" s="24"/>
      <c r="B53" s="24"/>
      <c r="C53" s="24"/>
      <c r="D53" s="24"/>
      <c r="G53" s="24"/>
      <c r="H53" s="24"/>
      <c r="I53" s="24"/>
      <c r="J53" s="24"/>
      <c r="K53" s="15"/>
      <c r="L53" s="15"/>
      <c r="M53" s="15"/>
      <c r="N53" s="15"/>
      <c r="O53" s="15"/>
      <c r="P53" s="15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</row>
    <row r="54" spans="1:32">
      <c r="A54" s="24"/>
      <c r="B54" s="24"/>
      <c r="C54" s="24"/>
      <c r="D54" s="24"/>
      <c r="G54" s="24"/>
      <c r="H54" s="24"/>
      <c r="I54" s="24"/>
      <c r="J54" s="24"/>
      <c r="K54" s="15"/>
      <c r="L54" s="15"/>
      <c r="M54" s="15"/>
      <c r="N54" s="15"/>
      <c r="O54" s="15"/>
      <c r="P54" s="15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</row>
    <row r="55" spans="1:32">
      <c r="A55" s="24"/>
      <c r="B55" s="24"/>
      <c r="C55" s="24"/>
      <c r="D55" s="24"/>
      <c r="G55" s="24"/>
      <c r="H55" s="24"/>
      <c r="I55" s="24"/>
      <c r="J55" s="24"/>
      <c r="K55" s="15"/>
      <c r="L55" s="15"/>
      <c r="M55" s="15"/>
      <c r="N55" s="15"/>
      <c r="O55" s="15"/>
      <c r="P55" s="15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</row>
    <row r="56" spans="1:32">
      <c r="A56" s="24"/>
      <c r="B56" s="24"/>
      <c r="C56" s="24"/>
      <c r="D56" s="24"/>
      <c r="G56" s="24"/>
      <c r="H56" s="24"/>
      <c r="I56" s="24"/>
      <c r="J56" s="24"/>
      <c r="K56" s="15"/>
      <c r="L56" s="15"/>
      <c r="M56" s="15"/>
      <c r="N56" s="15"/>
      <c r="O56" s="15"/>
      <c r="P56" s="15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</row>
    <row r="57" spans="1:32">
      <c r="A57" s="24"/>
      <c r="B57" s="24"/>
      <c r="C57" s="24"/>
      <c r="D57" s="24"/>
      <c r="G57" s="24"/>
      <c r="H57" s="24"/>
      <c r="I57" s="24"/>
      <c r="J57" s="24"/>
      <c r="K57" s="15"/>
      <c r="L57" s="15"/>
      <c r="M57" s="15"/>
      <c r="N57" s="15"/>
      <c r="O57" s="15"/>
      <c r="P57" s="15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</row>
    <row r="58" spans="1:32">
      <c r="A58" s="24"/>
      <c r="B58" s="24"/>
      <c r="C58" s="24"/>
      <c r="D58" s="24"/>
      <c r="G58" s="24"/>
      <c r="H58" s="24"/>
      <c r="I58" s="24"/>
      <c r="J58" s="24"/>
      <c r="K58" s="15"/>
      <c r="L58" s="15"/>
      <c r="M58" s="15"/>
      <c r="N58" s="15"/>
      <c r="O58" s="15"/>
      <c r="P58" s="15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</row>
    <row r="59" spans="1:32">
      <c r="A59" s="24"/>
      <c r="B59" s="24"/>
      <c r="C59" s="24"/>
      <c r="D59" s="24"/>
      <c r="G59" s="24"/>
      <c r="H59" s="24"/>
      <c r="I59" s="24"/>
      <c r="J59" s="24"/>
      <c r="K59" s="15"/>
      <c r="L59" s="15"/>
      <c r="M59" s="15"/>
      <c r="N59" s="15"/>
      <c r="O59" s="15"/>
      <c r="P59" s="15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</row>
    <row r="60" spans="1:32">
      <c r="A60" s="24"/>
      <c r="B60" s="24"/>
      <c r="C60" s="24"/>
      <c r="D60" s="24"/>
      <c r="G60" s="24"/>
      <c r="H60" s="24"/>
      <c r="I60" s="24"/>
      <c r="J60" s="24"/>
      <c r="K60" s="15"/>
      <c r="L60" s="15"/>
      <c r="M60" s="15"/>
      <c r="N60" s="15"/>
      <c r="O60" s="15"/>
      <c r="P60" s="15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</row>
    <row r="61" spans="1:32">
      <c r="A61" s="24"/>
      <c r="B61" s="24"/>
      <c r="C61" s="24"/>
      <c r="D61" s="24"/>
      <c r="G61" s="24"/>
      <c r="H61" s="24"/>
      <c r="I61" s="24"/>
      <c r="J61" s="24"/>
      <c r="K61" s="15"/>
      <c r="L61" s="15"/>
      <c r="M61" s="15"/>
      <c r="N61" s="15"/>
      <c r="O61" s="15"/>
      <c r="P61" s="15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</row>
    <row r="62" spans="1:32">
      <c r="A62" s="24"/>
      <c r="B62" s="24"/>
      <c r="C62" s="24"/>
      <c r="D62" s="24"/>
      <c r="G62" s="24"/>
      <c r="H62" s="24"/>
      <c r="I62" s="24"/>
      <c r="J62" s="24"/>
      <c r="K62" s="15"/>
      <c r="L62" s="15"/>
      <c r="M62" s="15"/>
      <c r="N62" s="15"/>
      <c r="O62" s="15"/>
      <c r="P62" s="15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</row>
    <row r="63" spans="1:32">
      <c r="A63" s="24"/>
      <c r="B63" s="24"/>
      <c r="C63" s="24"/>
      <c r="D63" s="24"/>
      <c r="G63" s="24"/>
      <c r="H63" s="24"/>
      <c r="I63" s="24"/>
      <c r="J63" s="24"/>
      <c r="K63" s="15"/>
      <c r="L63" s="15"/>
      <c r="M63" s="15"/>
      <c r="N63" s="15"/>
      <c r="O63" s="15"/>
      <c r="P63" s="15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</row>
    <row r="64" spans="1:32">
      <c r="A64" s="24"/>
      <c r="B64" s="24"/>
      <c r="C64" s="24"/>
      <c r="D64" s="24"/>
      <c r="G64" s="24"/>
      <c r="H64" s="24"/>
      <c r="I64" s="24"/>
      <c r="J64" s="24"/>
      <c r="K64" s="15"/>
      <c r="L64" s="15"/>
      <c r="M64" s="15"/>
      <c r="N64" s="15"/>
      <c r="O64" s="15"/>
      <c r="P64" s="15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</row>
    <row r="65" spans="1:32">
      <c r="A65" s="24"/>
      <c r="B65" s="24"/>
      <c r="C65" s="24"/>
      <c r="D65" s="24"/>
      <c r="G65" s="24"/>
      <c r="H65" s="24"/>
      <c r="I65" s="24"/>
      <c r="J65" s="24"/>
      <c r="K65" s="15"/>
      <c r="L65" s="15"/>
      <c r="M65" s="15"/>
      <c r="N65" s="15"/>
      <c r="O65" s="15"/>
      <c r="P65" s="15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</row>
    <row r="66" spans="1:32">
      <c r="A66" s="24"/>
      <c r="B66" s="24"/>
      <c r="C66" s="24"/>
      <c r="D66" s="24"/>
      <c r="G66" s="24"/>
      <c r="H66" s="24"/>
      <c r="I66" s="24"/>
      <c r="J66" s="24"/>
      <c r="K66" s="15"/>
      <c r="L66" s="15"/>
      <c r="M66" s="15"/>
      <c r="N66" s="15"/>
      <c r="O66" s="15"/>
      <c r="P66" s="15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</row>
    <row r="67" spans="1:32">
      <c r="A67" s="24"/>
      <c r="B67" s="24"/>
      <c r="C67" s="24"/>
      <c r="D67" s="24"/>
      <c r="G67" s="24"/>
      <c r="H67" s="24"/>
      <c r="I67" s="24"/>
      <c r="J67" s="24"/>
      <c r="K67" s="15"/>
      <c r="L67" s="15"/>
      <c r="M67" s="15"/>
      <c r="N67" s="15"/>
      <c r="O67" s="15"/>
      <c r="P67" s="15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</row>
    <row r="68" spans="1:32">
      <c r="I68" s="24"/>
      <c r="J68" s="24"/>
      <c r="Y68" s="24"/>
      <c r="Z68" s="24"/>
    </row>
  </sheetData>
  <mergeCells count="1005">
    <mergeCell ref="Y17:Z17"/>
    <mergeCell ref="Y20:Z20"/>
    <mergeCell ref="Y21:Z21"/>
    <mergeCell ref="Y22:Z22"/>
    <mergeCell ref="Y23:Z23"/>
    <mergeCell ref="Y24:Z24"/>
    <mergeCell ref="Y25:Z25"/>
    <mergeCell ref="O67:P67"/>
    <mergeCell ref="O61:P61"/>
    <mergeCell ref="O62:P62"/>
    <mergeCell ref="O63:P63"/>
    <mergeCell ref="O64:P64"/>
    <mergeCell ref="O65:P65"/>
    <mergeCell ref="O66:P66"/>
    <mergeCell ref="O55:P55"/>
    <mergeCell ref="O56:P56"/>
    <mergeCell ref="O57:P57"/>
    <mergeCell ref="O58:P58"/>
    <mergeCell ref="O59:P59"/>
    <mergeCell ref="O60:P60"/>
    <mergeCell ref="O49:P49"/>
    <mergeCell ref="O50:P50"/>
    <mergeCell ref="O51:P51"/>
    <mergeCell ref="O52:P52"/>
    <mergeCell ref="O53:P53"/>
    <mergeCell ref="O54:P54"/>
    <mergeCell ref="O43:P43"/>
    <mergeCell ref="O44:P44"/>
    <mergeCell ref="O45:P45"/>
    <mergeCell ref="O46:P46"/>
    <mergeCell ref="O47:P47"/>
    <mergeCell ref="O48:P48"/>
    <mergeCell ref="O37:P37"/>
    <mergeCell ref="O38:P38"/>
    <mergeCell ref="O39:P39"/>
    <mergeCell ref="O40:P40"/>
    <mergeCell ref="O41:P41"/>
    <mergeCell ref="O42:P42"/>
    <mergeCell ref="O31:P31"/>
    <mergeCell ref="O32:P32"/>
    <mergeCell ref="O33:P33"/>
    <mergeCell ref="O34:P34"/>
    <mergeCell ref="O35:P35"/>
    <mergeCell ref="O36:P36"/>
    <mergeCell ref="O25:P25"/>
    <mergeCell ref="O26:P26"/>
    <mergeCell ref="O27:P27"/>
    <mergeCell ref="O28:P28"/>
    <mergeCell ref="O29:P29"/>
    <mergeCell ref="O30:P30"/>
    <mergeCell ref="O19:P19"/>
    <mergeCell ref="O20:P20"/>
    <mergeCell ref="O21:P21"/>
    <mergeCell ref="O22:P22"/>
    <mergeCell ref="O23:P23"/>
    <mergeCell ref="O24:P24"/>
    <mergeCell ref="O13:P13"/>
    <mergeCell ref="O14:P14"/>
    <mergeCell ref="O15:P15"/>
    <mergeCell ref="O16:P16"/>
    <mergeCell ref="O17:P17"/>
    <mergeCell ref="O18:P18"/>
    <mergeCell ref="O7:P7"/>
    <mergeCell ref="O8:P8"/>
    <mergeCell ref="O9:P9"/>
    <mergeCell ref="O10:P10"/>
    <mergeCell ref="O11:P11"/>
    <mergeCell ref="O12:P12"/>
    <mergeCell ref="O1:P1"/>
    <mergeCell ref="O2:P2"/>
    <mergeCell ref="O3:P3"/>
    <mergeCell ref="O4:P4"/>
    <mergeCell ref="O5:P5"/>
    <mergeCell ref="O6:P6"/>
    <mergeCell ref="AE63:AF63"/>
    <mergeCell ref="AE64:AF64"/>
    <mergeCell ref="AE65:AF65"/>
    <mergeCell ref="AE66:AF66"/>
    <mergeCell ref="AE67:AF67"/>
    <mergeCell ref="AE57:AF57"/>
    <mergeCell ref="AE58:AF58"/>
    <mergeCell ref="AE59:AF59"/>
    <mergeCell ref="AE60:AF60"/>
    <mergeCell ref="AE61:AF61"/>
    <mergeCell ref="AE62:AF62"/>
    <mergeCell ref="AE51:AF51"/>
    <mergeCell ref="AE52:AF52"/>
    <mergeCell ref="AE53:AF53"/>
    <mergeCell ref="AE54:AF54"/>
    <mergeCell ref="AE55:AF55"/>
    <mergeCell ref="AE56:AF56"/>
    <mergeCell ref="AE45:AF45"/>
    <mergeCell ref="AE46:AF46"/>
    <mergeCell ref="AE47:AF47"/>
    <mergeCell ref="AE48:AF48"/>
    <mergeCell ref="AE49:AF49"/>
    <mergeCell ref="AE50:AF50"/>
    <mergeCell ref="AE39:AF39"/>
    <mergeCell ref="AE40:AF40"/>
    <mergeCell ref="AE41:AF41"/>
    <mergeCell ref="AE42:AF42"/>
    <mergeCell ref="AE43:AF43"/>
    <mergeCell ref="AE44:AF44"/>
    <mergeCell ref="AE33:AF33"/>
    <mergeCell ref="AE34:AF34"/>
    <mergeCell ref="AE35:AF35"/>
    <mergeCell ref="AE36:AF36"/>
    <mergeCell ref="AE37:AF37"/>
    <mergeCell ref="AE38:AF38"/>
    <mergeCell ref="AE27:AF27"/>
    <mergeCell ref="AE28:AF28"/>
    <mergeCell ref="AE29:AF29"/>
    <mergeCell ref="AE30:AF30"/>
    <mergeCell ref="AE31:AF31"/>
    <mergeCell ref="AE32:AF32"/>
    <mergeCell ref="AE21:AF21"/>
    <mergeCell ref="AE23:AF23"/>
    <mergeCell ref="AE24:AF24"/>
    <mergeCell ref="AE25:AF25"/>
    <mergeCell ref="AE26:AF26"/>
    <mergeCell ref="AE15:AF15"/>
    <mergeCell ref="AE16:AF16"/>
    <mergeCell ref="AE17:AF17"/>
    <mergeCell ref="AE18:AF18"/>
    <mergeCell ref="AE19:AF19"/>
    <mergeCell ref="AE20:AF20"/>
    <mergeCell ref="AE9:AF9"/>
    <mergeCell ref="AE10:AF10"/>
    <mergeCell ref="AE11:AF11"/>
    <mergeCell ref="AE12:AF12"/>
    <mergeCell ref="AE13:AF13"/>
    <mergeCell ref="AE14:AF14"/>
    <mergeCell ref="AC66:AD66"/>
    <mergeCell ref="AC67:AD67"/>
    <mergeCell ref="AE1:AF1"/>
    <mergeCell ref="AE2:AF2"/>
    <mergeCell ref="AE3:AF3"/>
    <mergeCell ref="AE4:AF4"/>
    <mergeCell ref="AE5:AF5"/>
    <mergeCell ref="AE6:AF6"/>
    <mergeCell ref="AE7:AF7"/>
    <mergeCell ref="AE8:AF8"/>
    <mergeCell ref="AC60:AD60"/>
    <mergeCell ref="AC61:AD61"/>
    <mergeCell ref="AC62:AD62"/>
    <mergeCell ref="AC63:AD63"/>
    <mergeCell ref="AC64:AD64"/>
    <mergeCell ref="AC65:AD65"/>
    <mergeCell ref="AC54:AD54"/>
    <mergeCell ref="AC55:AD55"/>
    <mergeCell ref="AC56:AD56"/>
    <mergeCell ref="AC57:AD57"/>
    <mergeCell ref="AC58:AD58"/>
    <mergeCell ref="AC59:AD59"/>
    <mergeCell ref="AC48:AD48"/>
    <mergeCell ref="AC49:AD49"/>
    <mergeCell ref="AC50:AD50"/>
    <mergeCell ref="AC51:AD51"/>
    <mergeCell ref="AC52:AD52"/>
    <mergeCell ref="AC53:AD53"/>
    <mergeCell ref="AC42:AD42"/>
    <mergeCell ref="AC43:AD43"/>
    <mergeCell ref="AC44:AD44"/>
    <mergeCell ref="AC45:AD45"/>
    <mergeCell ref="AC46:AD46"/>
    <mergeCell ref="AC47:AD47"/>
    <mergeCell ref="AC36:AD36"/>
    <mergeCell ref="AC37:AD37"/>
    <mergeCell ref="AC38:AD38"/>
    <mergeCell ref="AC39:AD39"/>
    <mergeCell ref="AC40:AD40"/>
    <mergeCell ref="AC41:AD41"/>
    <mergeCell ref="AC30:AD30"/>
    <mergeCell ref="AC31:AD31"/>
    <mergeCell ref="AC32:AD32"/>
    <mergeCell ref="AC33:AD33"/>
    <mergeCell ref="AC34:AD34"/>
    <mergeCell ref="AC35:AD35"/>
    <mergeCell ref="AC24:AD24"/>
    <mergeCell ref="AC25:AD25"/>
    <mergeCell ref="AC26:AD26"/>
    <mergeCell ref="AC27:AD27"/>
    <mergeCell ref="AC28:AD28"/>
    <mergeCell ref="AC29:AD29"/>
    <mergeCell ref="AC18:AD18"/>
    <mergeCell ref="AC19:AD19"/>
    <mergeCell ref="AC20:AD20"/>
    <mergeCell ref="AC21:AD21"/>
    <mergeCell ref="AC22:AD22"/>
    <mergeCell ref="AC23:AD23"/>
    <mergeCell ref="AC12:AD12"/>
    <mergeCell ref="AC13:AD13"/>
    <mergeCell ref="AC14:AD14"/>
    <mergeCell ref="AC15:AD15"/>
    <mergeCell ref="AC16:AD16"/>
    <mergeCell ref="AC17:AD17"/>
    <mergeCell ref="AC6:AD6"/>
    <mergeCell ref="AC7:AD7"/>
    <mergeCell ref="AC8:AD8"/>
    <mergeCell ref="AC9:AD9"/>
    <mergeCell ref="AC10:AD10"/>
    <mergeCell ref="AC11:AD11"/>
    <mergeCell ref="AA63:AB63"/>
    <mergeCell ref="AA64:AB64"/>
    <mergeCell ref="AA65:AB65"/>
    <mergeCell ref="AA66:AB66"/>
    <mergeCell ref="AA67:AB67"/>
    <mergeCell ref="AC1:AD1"/>
    <mergeCell ref="AC2:AD2"/>
    <mergeCell ref="AC3:AD3"/>
    <mergeCell ref="AC4:AD4"/>
    <mergeCell ref="AC5:AD5"/>
    <mergeCell ref="AA57:AB57"/>
    <mergeCell ref="AA58:AB58"/>
    <mergeCell ref="AA59:AB59"/>
    <mergeCell ref="AA60:AB60"/>
    <mergeCell ref="AA61:AB61"/>
    <mergeCell ref="AA62:AB62"/>
    <mergeCell ref="AA51:AB51"/>
    <mergeCell ref="AA52:AB52"/>
    <mergeCell ref="AA53:AB53"/>
    <mergeCell ref="AA54:AB54"/>
    <mergeCell ref="AA55:AB55"/>
    <mergeCell ref="AA56:AB56"/>
    <mergeCell ref="AA45:AB45"/>
    <mergeCell ref="AA46:AB46"/>
    <mergeCell ref="AA47:AB47"/>
    <mergeCell ref="AA48:AB48"/>
    <mergeCell ref="AA49:AB49"/>
    <mergeCell ref="AA50:AB50"/>
    <mergeCell ref="AA39:AB39"/>
    <mergeCell ref="AA40:AB40"/>
    <mergeCell ref="AA41:AB41"/>
    <mergeCell ref="AA42:AB42"/>
    <mergeCell ref="AA43:AB43"/>
    <mergeCell ref="AA44:AB44"/>
    <mergeCell ref="AA33:AB33"/>
    <mergeCell ref="AA34:AB34"/>
    <mergeCell ref="AA35:AB35"/>
    <mergeCell ref="AA36:AB36"/>
    <mergeCell ref="AA37:AB37"/>
    <mergeCell ref="AA38:AB38"/>
    <mergeCell ref="AA27:AB27"/>
    <mergeCell ref="AA28:AB28"/>
    <mergeCell ref="AA29:AB29"/>
    <mergeCell ref="AA30:AB30"/>
    <mergeCell ref="AA31:AB31"/>
    <mergeCell ref="AA32:AB32"/>
    <mergeCell ref="AA21:AB21"/>
    <mergeCell ref="AA22:AB22"/>
    <mergeCell ref="AA23:AB23"/>
    <mergeCell ref="AA24:AB24"/>
    <mergeCell ref="AA25:AB25"/>
    <mergeCell ref="AA26:AB26"/>
    <mergeCell ref="AA15:AB15"/>
    <mergeCell ref="AA16:AB16"/>
    <mergeCell ref="AA17:AB17"/>
    <mergeCell ref="AA18:AB18"/>
    <mergeCell ref="AA19:AB19"/>
    <mergeCell ref="AA20:AB20"/>
    <mergeCell ref="AA9:AB9"/>
    <mergeCell ref="AA10:AB10"/>
    <mergeCell ref="AA11:AB11"/>
    <mergeCell ref="AA12:AB12"/>
    <mergeCell ref="AA13:AB13"/>
    <mergeCell ref="AA14:AB14"/>
    <mergeCell ref="Y68:Z68"/>
    <mergeCell ref="AA1:AB1"/>
    <mergeCell ref="AA2:AB2"/>
    <mergeCell ref="AA3:AB3"/>
    <mergeCell ref="AA4:AB4"/>
    <mergeCell ref="AA5:AB5"/>
    <mergeCell ref="AA6:AB6"/>
    <mergeCell ref="AA7:AB7"/>
    <mergeCell ref="AA8:AB8"/>
    <mergeCell ref="Y62:Z62"/>
    <mergeCell ref="Y63:Z63"/>
    <mergeCell ref="Y64:Z64"/>
    <mergeCell ref="Y65:Z65"/>
    <mergeCell ref="Y66:Z66"/>
    <mergeCell ref="Y67:Z67"/>
    <mergeCell ref="Y56:Z56"/>
    <mergeCell ref="Y57:Z57"/>
    <mergeCell ref="Y58:Z58"/>
    <mergeCell ref="Y59:Z59"/>
    <mergeCell ref="Y60:Z60"/>
    <mergeCell ref="Y61:Z61"/>
    <mergeCell ref="Y50:Z50"/>
    <mergeCell ref="Y51:Z51"/>
    <mergeCell ref="Y52:Z52"/>
    <mergeCell ref="Y53:Z53"/>
    <mergeCell ref="Y54:Z54"/>
    <mergeCell ref="Y55:Z55"/>
    <mergeCell ref="Y44:Z44"/>
    <mergeCell ref="Y45:Z45"/>
    <mergeCell ref="Y46:Z46"/>
    <mergeCell ref="Y47:Z47"/>
    <mergeCell ref="Y48:Z48"/>
    <mergeCell ref="Y49:Z49"/>
    <mergeCell ref="Y38:Z38"/>
    <mergeCell ref="Y39:Z39"/>
    <mergeCell ref="Y40:Z40"/>
    <mergeCell ref="Y41:Z41"/>
    <mergeCell ref="Y42:Z42"/>
    <mergeCell ref="Y43:Z43"/>
    <mergeCell ref="Y32:Z32"/>
    <mergeCell ref="Y33:Z33"/>
    <mergeCell ref="Y34:Z34"/>
    <mergeCell ref="Y35:Z35"/>
    <mergeCell ref="Y36:Z36"/>
    <mergeCell ref="Y37:Z37"/>
    <mergeCell ref="Y26:Z26"/>
    <mergeCell ref="Y27:Z27"/>
    <mergeCell ref="Y28:Z28"/>
    <mergeCell ref="Y29:Z29"/>
    <mergeCell ref="Y30:Z30"/>
    <mergeCell ref="Y31:Z31"/>
    <mergeCell ref="Y13:Z13"/>
    <mergeCell ref="Y14:Z14"/>
    <mergeCell ref="Y15:Z15"/>
    <mergeCell ref="Y16:Z16"/>
    <mergeCell ref="Y18:Z18"/>
    <mergeCell ref="Y19:Z19"/>
    <mergeCell ref="Y7:Z7"/>
    <mergeCell ref="Y8:Z8"/>
    <mergeCell ref="Y9:Z9"/>
    <mergeCell ref="Y10:Z10"/>
    <mergeCell ref="Y11:Z11"/>
    <mergeCell ref="Y12:Z12"/>
    <mergeCell ref="W64:X64"/>
    <mergeCell ref="W65:X65"/>
    <mergeCell ref="W66:X66"/>
    <mergeCell ref="W67:X67"/>
    <mergeCell ref="Y1:Z1"/>
    <mergeCell ref="Y2:Z2"/>
    <mergeCell ref="Y3:Z3"/>
    <mergeCell ref="Y4:Z4"/>
    <mergeCell ref="Y5:Z5"/>
    <mergeCell ref="Y6:Z6"/>
    <mergeCell ref="W58:X58"/>
    <mergeCell ref="W59:X59"/>
    <mergeCell ref="W60:X60"/>
    <mergeCell ref="W61:X61"/>
    <mergeCell ref="W62:X62"/>
    <mergeCell ref="W63:X63"/>
    <mergeCell ref="W52:X52"/>
    <mergeCell ref="W53:X53"/>
    <mergeCell ref="W54:X54"/>
    <mergeCell ref="W55:X55"/>
    <mergeCell ref="W56:X56"/>
    <mergeCell ref="W57:X57"/>
    <mergeCell ref="W46:X46"/>
    <mergeCell ref="W47:X47"/>
    <mergeCell ref="W48:X48"/>
    <mergeCell ref="W49:X49"/>
    <mergeCell ref="W50:X50"/>
    <mergeCell ref="W51:X51"/>
    <mergeCell ref="W40:X40"/>
    <mergeCell ref="W41:X41"/>
    <mergeCell ref="W42:X42"/>
    <mergeCell ref="W43:X43"/>
    <mergeCell ref="W44:X44"/>
    <mergeCell ref="W45:X45"/>
    <mergeCell ref="W34:X34"/>
    <mergeCell ref="W35:X35"/>
    <mergeCell ref="W36:X36"/>
    <mergeCell ref="W37:X37"/>
    <mergeCell ref="W38:X38"/>
    <mergeCell ref="W39:X39"/>
    <mergeCell ref="W28:X28"/>
    <mergeCell ref="W29:X29"/>
    <mergeCell ref="W30:X30"/>
    <mergeCell ref="W31:X31"/>
    <mergeCell ref="W32:X32"/>
    <mergeCell ref="W33:X33"/>
    <mergeCell ref="W22:X22"/>
    <mergeCell ref="W23:X23"/>
    <mergeCell ref="W24:X24"/>
    <mergeCell ref="W25:X25"/>
    <mergeCell ref="W26:X26"/>
    <mergeCell ref="W27:X27"/>
    <mergeCell ref="W16:X16"/>
    <mergeCell ref="W17:X17"/>
    <mergeCell ref="W18:X18"/>
    <mergeCell ref="W19:X19"/>
    <mergeCell ref="W20:X20"/>
    <mergeCell ref="W21:X21"/>
    <mergeCell ref="W10:X10"/>
    <mergeCell ref="W11:X11"/>
    <mergeCell ref="W12:X12"/>
    <mergeCell ref="W13:X13"/>
    <mergeCell ref="W14:X14"/>
    <mergeCell ref="W15:X15"/>
    <mergeCell ref="U67:V67"/>
    <mergeCell ref="W1:X1"/>
    <mergeCell ref="W2:X2"/>
    <mergeCell ref="W3:X3"/>
    <mergeCell ref="W4:X4"/>
    <mergeCell ref="W5:X5"/>
    <mergeCell ref="W6:X6"/>
    <mergeCell ref="W7:X7"/>
    <mergeCell ref="W8:X8"/>
    <mergeCell ref="W9:X9"/>
    <mergeCell ref="U61:V61"/>
    <mergeCell ref="U62:V62"/>
    <mergeCell ref="U63:V63"/>
    <mergeCell ref="U64:V64"/>
    <mergeCell ref="U65:V65"/>
    <mergeCell ref="U66:V66"/>
    <mergeCell ref="U55:V55"/>
    <mergeCell ref="U56:V56"/>
    <mergeCell ref="U57:V57"/>
    <mergeCell ref="U58:V58"/>
    <mergeCell ref="U59:V59"/>
    <mergeCell ref="U60:V60"/>
    <mergeCell ref="U49:V49"/>
    <mergeCell ref="U50:V50"/>
    <mergeCell ref="U51:V51"/>
    <mergeCell ref="U52:V52"/>
    <mergeCell ref="U53:V53"/>
    <mergeCell ref="U54:V54"/>
    <mergeCell ref="U43:V43"/>
    <mergeCell ref="U44:V44"/>
    <mergeCell ref="U45:V45"/>
    <mergeCell ref="U46:V46"/>
    <mergeCell ref="U47:V47"/>
    <mergeCell ref="U48:V48"/>
    <mergeCell ref="U37:V37"/>
    <mergeCell ref="U38:V38"/>
    <mergeCell ref="U39:V39"/>
    <mergeCell ref="U40:V40"/>
    <mergeCell ref="U41:V41"/>
    <mergeCell ref="U42:V42"/>
    <mergeCell ref="U31:V31"/>
    <mergeCell ref="U32:V32"/>
    <mergeCell ref="U33:V33"/>
    <mergeCell ref="U34:V34"/>
    <mergeCell ref="U35:V35"/>
    <mergeCell ref="U36:V36"/>
    <mergeCell ref="U25:V25"/>
    <mergeCell ref="U26:V26"/>
    <mergeCell ref="U27:V27"/>
    <mergeCell ref="U28:V28"/>
    <mergeCell ref="U29:V29"/>
    <mergeCell ref="U30:V30"/>
    <mergeCell ref="U19:V19"/>
    <mergeCell ref="U20:V20"/>
    <mergeCell ref="U21:V21"/>
    <mergeCell ref="U22:V22"/>
    <mergeCell ref="U23:V23"/>
    <mergeCell ref="U24:V24"/>
    <mergeCell ref="U13:V13"/>
    <mergeCell ref="U14:V14"/>
    <mergeCell ref="U15:V15"/>
    <mergeCell ref="U16:V16"/>
    <mergeCell ref="U17:V17"/>
    <mergeCell ref="U18:V18"/>
    <mergeCell ref="U7:V7"/>
    <mergeCell ref="U8:V8"/>
    <mergeCell ref="U9:V9"/>
    <mergeCell ref="U10:V10"/>
    <mergeCell ref="U11:V11"/>
    <mergeCell ref="U12:V12"/>
    <mergeCell ref="U1:V1"/>
    <mergeCell ref="U2:V2"/>
    <mergeCell ref="U3:V3"/>
    <mergeCell ref="U4:V4"/>
    <mergeCell ref="U5:V5"/>
    <mergeCell ref="U6:V6"/>
    <mergeCell ref="S62:T62"/>
    <mergeCell ref="S63:T63"/>
    <mergeCell ref="S64:T64"/>
    <mergeCell ref="S65:T65"/>
    <mergeCell ref="S66:T66"/>
    <mergeCell ref="S38:T38"/>
    <mergeCell ref="S39:T39"/>
    <mergeCell ref="S40:T40"/>
    <mergeCell ref="S41:T41"/>
    <mergeCell ref="S42:T42"/>
    <mergeCell ref="S43:T43"/>
    <mergeCell ref="S32:T32"/>
    <mergeCell ref="S33:T33"/>
    <mergeCell ref="S34:T34"/>
    <mergeCell ref="S35:T35"/>
    <mergeCell ref="S36:T36"/>
    <mergeCell ref="S37:T37"/>
    <mergeCell ref="S26:T26"/>
    <mergeCell ref="S27:T27"/>
    <mergeCell ref="S28:T28"/>
    <mergeCell ref="S67:T67"/>
    <mergeCell ref="S56:T56"/>
    <mergeCell ref="S57:T57"/>
    <mergeCell ref="S58:T58"/>
    <mergeCell ref="S59:T59"/>
    <mergeCell ref="S60:T60"/>
    <mergeCell ref="S61:T61"/>
    <mergeCell ref="S50:T50"/>
    <mergeCell ref="S51:T51"/>
    <mergeCell ref="S52:T52"/>
    <mergeCell ref="S53:T53"/>
    <mergeCell ref="S54:T54"/>
    <mergeCell ref="S55:T55"/>
    <mergeCell ref="S44:T44"/>
    <mergeCell ref="S45:T45"/>
    <mergeCell ref="S46:T46"/>
    <mergeCell ref="S47:T47"/>
    <mergeCell ref="S48:T48"/>
    <mergeCell ref="S49:T49"/>
    <mergeCell ref="S29:T29"/>
    <mergeCell ref="S30:T30"/>
    <mergeCell ref="S31:T31"/>
    <mergeCell ref="S20:T20"/>
    <mergeCell ref="S21:T21"/>
    <mergeCell ref="S22:T22"/>
    <mergeCell ref="S23:T23"/>
    <mergeCell ref="S24:T24"/>
    <mergeCell ref="S25:T25"/>
    <mergeCell ref="S14:T14"/>
    <mergeCell ref="S15:T15"/>
    <mergeCell ref="S16:T16"/>
    <mergeCell ref="S17:T17"/>
    <mergeCell ref="S18:T18"/>
    <mergeCell ref="S19:T19"/>
    <mergeCell ref="S8:T8"/>
    <mergeCell ref="S9:T9"/>
    <mergeCell ref="S10:T10"/>
    <mergeCell ref="S11:T11"/>
    <mergeCell ref="S12:T12"/>
    <mergeCell ref="S13:T13"/>
    <mergeCell ref="Q66:R66"/>
    <mergeCell ref="Q67:R67"/>
    <mergeCell ref="S1:T1"/>
    <mergeCell ref="S2:T2"/>
    <mergeCell ref="S3:T3"/>
    <mergeCell ref="S4:T4"/>
    <mergeCell ref="S5:T5"/>
    <mergeCell ref="S6:T6"/>
    <mergeCell ref="S7:T7"/>
    <mergeCell ref="Q60:R60"/>
    <mergeCell ref="Q61:R61"/>
    <mergeCell ref="Q62:R62"/>
    <mergeCell ref="Q63:R63"/>
    <mergeCell ref="Q64:R64"/>
    <mergeCell ref="Q65:R65"/>
    <mergeCell ref="Q54:R54"/>
    <mergeCell ref="Q55:R55"/>
    <mergeCell ref="Q56:R56"/>
    <mergeCell ref="Q57:R57"/>
    <mergeCell ref="Q58:R58"/>
    <mergeCell ref="Q59:R59"/>
    <mergeCell ref="Q48:R48"/>
    <mergeCell ref="Q49:R49"/>
    <mergeCell ref="Q50:R50"/>
    <mergeCell ref="Q51:R51"/>
    <mergeCell ref="Q52:R52"/>
    <mergeCell ref="Q53:R53"/>
    <mergeCell ref="Q42:R42"/>
    <mergeCell ref="Q43:R43"/>
    <mergeCell ref="Q44:R44"/>
    <mergeCell ref="Q45:R45"/>
    <mergeCell ref="Q46:R46"/>
    <mergeCell ref="Q47:R47"/>
    <mergeCell ref="Q36:R36"/>
    <mergeCell ref="Q37:R37"/>
    <mergeCell ref="Q38:R38"/>
    <mergeCell ref="Q39:R39"/>
    <mergeCell ref="Q40:R40"/>
    <mergeCell ref="Q41:R41"/>
    <mergeCell ref="Q30:R30"/>
    <mergeCell ref="Q31:R31"/>
    <mergeCell ref="Q32:R32"/>
    <mergeCell ref="Q33:R33"/>
    <mergeCell ref="Q34:R34"/>
    <mergeCell ref="Q35:R35"/>
    <mergeCell ref="Q24:R24"/>
    <mergeCell ref="Q25:R25"/>
    <mergeCell ref="Q26:R26"/>
    <mergeCell ref="Q27:R27"/>
    <mergeCell ref="Q28:R28"/>
    <mergeCell ref="Q29:R29"/>
    <mergeCell ref="Q18:R18"/>
    <mergeCell ref="Q19:R19"/>
    <mergeCell ref="Q20:R20"/>
    <mergeCell ref="Q21:R21"/>
    <mergeCell ref="Q22:R22"/>
    <mergeCell ref="Q23:R23"/>
    <mergeCell ref="Q12:R12"/>
    <mergeCell ref="Q13:R13"/>
    <mergeCell ref="Q14:R14"/>
    <mergeCell ref="Q15:R15"/>
    <mergeCell ref="Q16:R16"/>
    <mergeCell ref="Q17:R17"/>
    <mergeCell ref="Q6:R6"/>
    <mergeCell ref="Q7:R7"/>
    <mergeCell ref="Q8:R8"/>
    <mergeCell ref="Q9:R9"/>
    <mergeCell ref="Q10:R10"/>
    <mergeCell ref="Q11:R11"/>
    <mergeCell ref="M63:N63"/>
    <mergeCell ref="M64:N64"/>
    <mergeCell ref="M65:N65"/>
    <mergeCell ref="M66:N66"/>
    <mergeCell ref="M67:N67"/>
    <mergeCell ref="Q1:R1"/>
    <mergeCell ref="Q2:R2"/>
    <mergeCell ref="Q3:R3"/>
    <mergeCell ref="Q4:R4"/>
    <mergeCell ref="Q5:R5"/>
    <mergeCell ref="M57:N57"/>
    <mergeCell ref="M58:N58"/>
    <mergeCell ref="M59:N59"/>
    <mergeCell ref="M60:N60"/>
    <mergeCell ref="M61:N61"/>
    <mergeCell ref="M62:N62"/>
    <mergeCell ref="M51:N51"/>
    <mergeCell ref="M52:N52"/>
    <mergeCell ref="M53:N53"/>
    <mergeCell ref="M54:N54"/>
    <mergeCell ref="M55:N55"/>
    <mergeCell ref="M56:N56"/>
    <mergeCell ref="M45:N45"/>
    <mergeCell ref="M46:N46"/>
    <mergeCell ref="M47:N47"/>
    <mergeCell ref="M48:N48"/>
    <mergeCell ref="M49:N49"/>
    <mergeCell ref="M50:N50"/>
    <mergeCell ref="M39:N39"/>
    <mergeCell ref="M40:N40"/>
    <mergeCell ref="M41:N41"/>
    <mergeCell ref="M42:N42"/>
    <mergeCell ref="M43:N43"/>
    <mergeCell ref="M44:N44"/>
    <mergeCell ref="M33:N33"/>
    <mergeCell ref="M34:N34"/>
    <mergeCell ref="M35:N35"/>
    <mergeCell ref="M36:N36"/>
    <mergeCell ref="M37:N37"/>
    <mergeCell ref="M38:N38"/>
    <mergeCell ref="M27:N27"/>
    <mergeCell ref="M28:N28"/>
    <mergeCell ref="M29:N29"/>
    <mergeCell ref="M30:N30"/>
    <mergeCell ref="M31:N31"/>
    <mergeCell ref="M32:N32"/>
    <mergeCell ref="M21:N21"/>
    <mergeCell ref="M22:N22"/>
    <mergeCell ref="M23:N23"/>
    <mergeCell ref="M24:N24"/>
    <mergeCell ref="M25:N25"/>
    <mergeCell ref="M26:N26"/>
    <mergeCell ref="M15:N15"/>
    <mergeCell ref="M16:N16"/>
    <mergeCell ref="M17:N17"/>
    <mergeCell ref="M18:N18"/>
    <mergeCell ref="M19:N19"/>
    <mergeCell ref="M20:N20"/>
    <mergeCell ref="M9:N9"/>
    <mergeCell ref="M10:N10"/>
    <mergeCell ref="M11:N11"/>
    <mergeCell ref="M12:N12"/>
    <mergeCell ref="M13:N13"/>
    <mergeCell ref="M14:N14"/>
    <mergeCell ref="K66:L66"/>
    <mergeCell ref="K67:L67"/>
    <mergeCell ref="M1:N1"/>
    <mergeCell ref="M2:N2"/>
    <mergeCell ref="M3:N3"/>
    <mergeCell ref="M4:N4"/>
    <mergeCell ref="M5:N5"/>
    <mergeCell ref="M6:N6"/>
    <mergeCell ref="M7:N7"/>
    <mergeCell ref="M8:N8"/>
    <mergeCell ref="K60:L60"/>
    <mergeCell ref="K61:L61"/>
    <mergeCell ref="K62:L62"/>
    <mergeCell ref="K63:L63"/>
    <mergeCell ref="K64:L64"/>
    <mergeCell ref="K65:L65"/>
    <mergeCell ref="K54:L54"/>
    <mergeCell ref="K55:L55"/>
    <mergeCell ref="K56:L56"/>
    <mergeCell ref="K57:L57"/>
    <mergeCell ref="K58:L58"/>
    <mergeCell ref="K59:L59"/>
    <mergeCell ref="K48:L48"/>
    <mergeCell ref="K49:L49"/>
    <mergeCell ref="K50:L50"/>
    <mergeCell ref="K51:L51"/>
    <mergeCell ref="K52:L52"/>
    <mergeCell ref="K53:L53"/>
    <mergeCell ref="K42:L42"/>
    <mergeCell ref="K43:L43"/>
    <mergeCell ref="K44:L44"/>
    <mergeCell ref="K45:L45"/>
    <mergeCell ref="K46:L46"/>
    <mergeCell ref="K47:L47"/>
    <mergeCell ref="K36:L36"/>
    <mergeCell ref="K37:L37"/>
    <mergeCell ref="K38:L38"/>
    <mergeCell ref="K39:L39"/>
    <mergeCell ref="K40:L40"/>
    <mergeCell ref="K41:L41"/>
    <mergeCell ref="K30:L30"/>
    <mergeCell ref="K31:L31"/>
    <mergeCell ref="K32:L32"/>
    <mergeCell ref="K33:L33"/>
    <mergeCell ref="K34:L34"/>
    <mergeCell ref="K35:L35"/>
    <mergeCell ref="K24:L24"/>
    <mergeCell ref="K25:L25"/>
    <mergeCell ref="K26:L26"/>
    <mergeCell ref="K27:L27"/>
    <mergeCell ref="K28:L28"/>
    <mergeCell ref="K29:L29"/>
    <mergeCell ref="K18:L18"/>
    <mergeCell ref="K19:L19"/>
    <mergeCell ref="K20:L20"/>
    <mergeCell ref="K21:L21"/>
    <mergeCell ref="K22:L22"/>
    <mergeCell ref="K23:L23"/>
    <mergeCell ref="K12:L12"/>
    <mergeCell ref="K13:L13"/>
    <mergeCell ref="K14:L14"/>
    <mergeCell ref="K15:L15"/>
    <mergeCell ref="K16:L16"/>
    <mergeCell ref="K17:L17"/>
    <mergeCell ref="K6:L6"/>
    <mergeCell ref="K7:L7"/>
    <mergeCell ref="K8:L8"/>
    <mergeCell ref="K9:L9"/>
    <mergeCell ref="K10:L10"/>
    <mergeCell ref="K11:L11"/>
    <mergeCell ref="I64:J64"/>
    <mergeCell ref="I65:J65"/>
    <mergeCell ref="I66:J66"/>
    <mergeCell ref="I67:J67"/>
    <mergeCell ref="I68:J68"/>
    <mergeCell ref="I37:J37"/>
    <mergeCell ref="I38:J38"/>
    <mergeCell ref="I39:J39"/>
    <mergeCell ref="I28:J28"/>
    <mergeCell ref="I29:J29"/>
    <mergeCell ref="I30:J30"/>
    <mergeCell ref="I31:J31"/>
    <mergeCell ref="I32:J32"/>
    <mergeCell ref="I33:J33"/>
    <mergeCell ref="I21:J21"/>
    <mergeCell ref="I23:J23"/>
    <mergeCell ref="I24:J24"/>
    <mergeCell ref="I25:J25"/>
    <mergeCell ref="I26:J26"/>
    <mergeCell ref="I27:J27"/>
    <mergeCell ref="K1:L1"/>
    <mergeCell ref="K2:L2"/>
    <mergeCell ref="K3:L3"/>
    <mergeCell ref="K4:L4"/>
    <mergeCell ref="K5:L5"/>
    <mergeCell ref="I58:J58"/>
    <mergeCell ref="I59:J59"/>
    <mergeCell ref="I60:J60"/>
    <mergeCell ref="I61:J61"/>
    <mergeCell ref="I62:J62"/>
    <mergeCell ref="I63:J63"/>
    <mergeCell ref="I52:J52"/>
    <mergeCell ref="I53:J53"/>
    <mergeCell ref="I54:J54"/>
    <mergeCell ref="I55:J55"/>
    <mergeCell ref="I56:J56"/>
    <mergeCell ref="I57:J57"/>
    <mergeCell ref="I46:J46"/>
    <mergeCell ref="I47:J47"/>
    <mergeCell ref="I48:J48"/>
    <mergeCell ref="I49:J49"/>
    <mergeCell ref="I50:J50"/>
    <mergeCell ref="I51:J51"/>
    <mergeCell ref="I40:J40"/>
    <mergeCell ref="I41:J41"/>
    <mergeCell ref="I42:J42"/>
    <mergeCell ref="I43:J43"/>
    <mergeCell ref="I44:J44"/>
    <mergeCell ref="I45:J45"/>
    <mergeCell ref="I34:J34"/>
    <mergeCell ref="I35:J35"/>
    <mergeCell ref="I36:J36"/>
    <mergeCell ref="I15:J15"/>
    <mergeCell ref="I16:J16"/>
    <mergeCell ref="I17:J17"/>
    <mergeCell ref="I18:J18"/>
    <mergeCell ref="I19:J19"/>
    <mergeCell ref="I20:J20"/>
    <mergeCell ref="I9:J9"/>
    <mergeCell ref="I10:J10"/>
    <mergeCell ref="I11:J11"/>
    <mergeCell ref="I12:J12"/>
    <mergeCell ref="I13:J13"/>
    <mergeCell ref="I14:J14"/>
    <mergeCell ref="G67:H67"/>
    <mergeCell ref="I1:J1"/>
    <mergeCell ref="I2:J2"/>
    <mergeCell ref="I3:J3"/>
    <mergeCell ref="I4:J4"/>
    <mergeCell ref="I5:J5"/>
    <mergeCell ref="I6:J6"/>
    <mergeCell ref="I7:J7"/>
    <mergeCell ref="I8:J8"/>
    <mergeCell ref="G61:H61"/>
    <mergeCell ref="G62:H62"/>
    <mergeCell ref="G63:H63"/>
    <mergeCell ref="G64:H64"/>
    <mergeCell ref="G65:H65"/>
    <mergeCell ref="G66:H66"/>
    <mergeCell ref="G55:H55"/>
    <mergeCell ref="G56:H56"/>
    <mergeCell ref="G57:H57"/>
    <mergeCell ref="G58:H58"/>
    <mergeCell ref="G59:H59"/>
    <mergeCell ref="G60:H60"/>
    <mergeCell ref="G49:H49"/>
    <mergeCell ref="G50:H50"/>
    <mergeCell ref="G51:H51"/>
    <mergeCell ref="G52:H52"/>
    <mergeCell ref="G53:H53"/>
    <mergeCell ref="G54:H54"/>
    <mergeCell ref="G43:H43"/>
    <mergeCell ref="G44:H44"/>
    <mergeCell ref="G45:H45"/>
    <mergeCell ref="G46:H46"/>
    <mergeCell ref="G47:H47"/>
    <mergeCell ref="G48:H48"/>
    <mergeCell ref="G37:H37"/>
    <mergeCell ref="G38:H38"/>
    <mergeCell ref="G39:H39"/>
    <mergeCell ref="G40:H40"/>
    <mergeCell ref="G41:H41"/>
    <mergeCell ref="G42:H42"/>
    <mergeCell ref="G31:H31"/>
    <mergeCell ref="G32:H32"/>
    <mergeCell ref="G33:H33"/>
    <mergeCell ref="G34:H34"/>
    <mergeCell ref="G35:H35"/>
    <mergeCell ref="G36:H36"/>
    <mergeCell ref="G25:H25"/>
    <mergeCell ref="G26:H26"/>
    <mergeCell ref="G27:H27"/>
    <mergeCell ref="G28:H28"/>
    <mergeCell ref="G29:H29"/>
    <mergeCell ref="G30:H30"/>
    <mergeCell ref="G19:H19"/>
    <mergeCell ref="G20:H20"/>
    <mergeCell ref="G21:H21"/>
    <mergeCell ref="G22:H22"/>
    <mergeCell ref="G23:H23"/>
    <mergeCell ref="G24:H24"/>
    <mergeCell ref="G13:H13"/>
    <mergeCell ref="G14:H14"/>
    <mergeCell ref="G15:H15"/>
    <mergeCell ref="G16:H16"/>
    <mergeCell ref="G17:H17"/>
    <mergeCell ref="G18:H18"/>
    <mergeCell ref="G7:H7"/>
    <mergeCell ref="G8:H8"/>
    <mergeCell ref="G9:H9"/>
    <mergeCell ref="G10:H10"/>
    <mergeCell ref="G11:H11"/>
    <mergeCell ref="G12:H12"/>
    <mergeCell ref="G1:H1"/>
    <mergeCell ref="G2:H2"/>
    <mergeCell ref="G3:H3"/>
    <mergeCell ref="G4:H4"/>
    <mergeCell ref="G5:H5"/>
    <mergeCell ref="G6:H6"/>
    <mergeCell ref="C67:D67"/>
    <mergeCell ref="C61:D61"/>
    <mergeCell ref="C62:D62"/>
    <mergeCell ref="C63:D63"/>
    <mergeCell ref="C64:D64"/>
    <mergeCell ref="C65:D65"/>
    <mergeCell ref="C66:D66"/>
    <mergeCell ref="C55:D55"/>
    <mergeCell ref="C56:D56"/>
    <mergeCell ref="C57:D57"/>
    <mergeCell ref="C58:D58"/>
    <mergeCell ref="C59:D59"/>
    <mergeCell ref="C60:D60"/>
    <mergeCell ref="C49:D49"/>
    <mergeCell ref="C50:D50"/>
    <mergeCell ref="C51:D51"/>
    <mergeCell ref="C52:D52"/>
    <mergeCell ref="C53:D53"/>
    <mergeCell ref="C54:D54"/>
    <mergeCell ref="C43:D43"/>
    <mergeCell ref="C44:D44"/>
    <mergeCell ref="C45:D45"/>
    <mergeCell ref="C46:D46"/>
    <mergeCell ref="C47:D47"/>
    <mergeCell ref="C48:D48"/>
    <mergeCell ref="C37:D37"/>
    <mergeCell ref="C38:D38"/>
    <mergeCell ref="C39:D39"/>
    <mergeCell ref="C40:D40"/>
    <mergeCell ref="C41:D41"/>
    <mergeCell ref="C42:D42"/>
    <mergeCell ref="C31:D31"/>
    <mergeCell ref="C32:D32"/>
    <mergeCell ref="C33:D33"/>
    <mergeCell ref="C34:D34"/>
    <mergeCell ref="C35:D35"/>
    <mergeCell ref="C36:D36"/>
    <mergeCell ref="C25:D25"/>
    <mergeCell ref="C26:D26"/>
    <mergeCell ref="C27:D27"/>
    <mergeCell ref="C28:D28"/>
    <mergeCell ref="C29:D29"/>
    <mergeCell ref="C30:D30"/>
    <mergeCell ref="C19:D19"/>
    <mergeCell ref="C20:D20"/>
    <mergeCell ref="C21:D21"/>
    <mergeCell ref="C22:D22"/>
    <mergeCell ref="C23:D23"/>
    <mergeCell ref="C24:D24"/>
    <mergeCell ref="C13:D13"/>
    <mergeCell ref="C14:D14"/>
    <mergeCell ref="C15:D15"/>
    <mergeCell ref="C16:D16"/>
    <mergeCell ref="C17:D17"/>
    <mergeCell ref="C18:D18"/>
    <mergeCell ref="C7:D7"/>
    <mergeCell ref="C8:D8"/>
    <mergeCell ref="C9:D9"/>
    <mergeCell ref="C10:D10"/>
    <mergeCell ref="C11:D11"/>
    <mergeCell ref="C12:D12"/>
    <mergeCell ref="C1:D1"/>
    <mergeCell ref="C2:D2"/>
    <mergeCell ref="C3:D3"/>
    <mergeCell ref="C4:D4"/>
    <mergeCell ref="C5:D5"/>
    <mergeCell ref="C6:D6"/>
    <mergeCell ref="A62:B62"/>
    <mergeCell ref="A63:B63"/>
    <mergeCell ref="A64:B64"/>
    <mergeCell ref="A65:B65"/>
    <mergeCell ref="A66:B66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67:B67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1:B1"/>
    <mergeCell ref="A2:B2"/>
    <mergeCell ref="A3:B3"/>
    <mergeCell ref="A4:B4"/>
    <mergeCell ref="A5:B5"/>
    <mergeCell ref="A6:B6"/>
    <mergeCell ref="A7:B7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2023-09-03T07:32:40Z</dcterms:created>
  <dcterms:modified xsi:type="dcterms:W3CDTF">2023-09-03T10:47:35Z</dcterms:modified>
  <cp:category/>
  <cp:contentStatus/>
</cp:coreProperties>
</file>